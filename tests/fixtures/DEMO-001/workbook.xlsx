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df27a6b7144af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take" sheetId="1" r:id="R4baf1fcb55094276"/>
    <x:sheet xmlns:r="http://schemas.openxmlformats.org/officeDocument/2006/relationships" name="sales" sheetId="2" r:id="R9dcb30fa2bb84452"/>
    <x:sheet xmlns:r="http://schemas.openxmlformats.org/officeDocument/2006/relationships" name="size_adj" sheetId="3" r:id="R1a5d330bc74d4ba1"/>
    <x:sheet xmlns:r="http://schemas.openxmlformats.org/officeDocument/2006/relationships" name="land" sheetId="4" r:id="Rc7295ec42bef4242"/>
    <x:sheet xmlns:r="http://schemas.openxmlformats.org/officeDocument/2006/relationships" name="cost" sheetId="5" r:id="R79a59d66330d429f"/>
    <x:sheet xmlns:r="http://schemas.openxmlformats.org/officeDocument/2006/relationships" name="noi_adj" sheetId="6" r:id="R29443c1e752b403c"/>
    <x:sheet xmlns:r="http://schemas.openxmlformats.org/officeDocument/2006/relationships" name="cap_rates" sheetId="7" r:id="R1dadcd8469794949"/>
    <x:sheet xmlns:r="http://schemas.openxmlformats.org/officeDocument/2006/relationships" name="pgi_calc" sheetId="8" r:id="Rcfa8ea40ef584a8f"/>
    <x:sheet xmlns:r="http://schemas.openxmlformats.org/officeDocument/2006/relationships" name="lease_comps" sheetId="9" r:id="R36a736c48b234214"/>
    <x:sheet xmlns:r="http://schemas.openxmlformats.org/officeDocument/2006/relationships" name="lease_metrics" sheetId="10" r:id="Rbcb7a063348642c5"/>
    <x:sheet xmlns:r="http://schemas.openxmlformats.org/officeDocument/2006/relationships" name="qualitative_analysis" sheetId="11" r:id="R5b3465345c724a55"/>
    <x:sheet xmlns:r="http://schemas.openxmlformats.org/officeDocument/2006/relationships" name="subject_units" sheetId="12" r:id="R0b0d95ff492f491a"/>
    <x:sheet xmlns:r="http://schemas.openxmlformats.org/officeDocument/2006/relationships" name="expense_comp" sheetId="13" r:id="R191d614849394bc2"/>
    <x:sheet xmlns:r="http://schemas.openxmlformats.org/officeDocument/2006/relationships" name="income_summary" sheetId="14" r:id="Ra96c34c8e7854fd0"/>
    <x:sheet xmlns:r="http://schemas.openxmlformats.org/officeDocument/2006/relationships" name="outputs" sheetId="15" r:id="R1923a74aaa194dc5"/>
    <x:sheet xmlns:r="http://schemas.openxmlformats.org/officeDocument/2006/relationships" name="comp_data" sheetId="16" r:id="R844bb8bbaf8e4b6c"/>
    <x:sheet xmlns:r="http://schemas.openxmlformats.org/officeDocument/2006/relationships" name="dilmore" sheetId="17" r:id="Ra083e5f3c4d24f6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164" formatCode="\$#,##0.00"/>
    <x:numFmt numFmtId="165" formatCode="0.0%;\(0.0%\);\-"/>
    <x:numFmt numFmtId="166" formatCode="\$#,##0"/>
    <x:numFmt numFmtId="167" formatCode="0.0%"/>
    <x:numFmt numFmtId="168" formatCode="mmm\ yyyy"/>
    <x:numFmt numFmtId="169" formatCode="0.000"/>
    <x:numFmt numFmtId="170" formatCode="0.0000"/>
    <x:numFmt numFmtId="171" formatCode="\+0.0%;\-0.0%;0.0%"/>
    <x:numFmt numFmtId="172" formatCode="mm/dd/yyyy"/>
    <x:numFmt numFmtId="173" formatCode="General_)"/>
    <x:numFmt numFmtId="174" formatCode="_(* #,##0.00_);_(* \(#,##0.00\);_(* \-??_);_(@_)"/>
    <x:numFmt numFmtId="175" formatCode="_(\$* #,##0.00_);_(\$* \(#,##0.00\);_(\$* \-??_);_(@_)"/>
  </x:numFmts>
  <x:fonts count="50">
    <x:font>
      <x:sz val="10"/>
      <x:name val="Arial"/>
    </x:font>
    <x:font>
      <x:b/>
      <x:sz val="9"/>
      <x:color rgb="FF000000"/>
      <x:name val="Arial MT"/>
    </x:font>
    <x:font>
      <x:sz val="10"/>
      <x:name val="Arial"/>
    </x:font>
    <x:font>
      <x:b/>
      <x:sz val="10"/>
      <x:color rgb="FFFFFFFF"/>
      <x:name val="Cambria"/>
    </x:font>
    <x:font>
      <x:b/>
      <x:sz val="9"/>
      <x:name val="Cambria"/>
    </x:font>
    <x:font>
      <x:sz val="9"/>
      <x:color rgb="FF000000"/>
      <x:name val="Cambria"/>
    </x:font>
    <x:font>
      <x:sz val="10"/>
      <x:name val="Europa-Regular"/>
    </x:font>
    <x:font>
      <x:b/>
      <x:i/>
      <x:sz val="9"/>
      <x:name val="Cambria"/>
    </x:font>
    <x:font>
      <x:sz val="9"/>
      <x:color rgb="FF444444"/>
      <x:name val="Cambria"/>
    </x:font>
    <x:font>
      <x:i/>
      <x:sz val="8"/>
      <x:color rgb="FF888888"/>
      <x:name val="Cambria"/>
    </x:font>
    <x:font>
      <x:i/>
      <x:sz val="8"/>
      <x:color rgb="FF666666"/>
      <x:name val="Cambria"/>
    </x:font>
    <x:font>
      <x:b/>
      <x:sz val="10"/>
      <x:color rgb="FFFFFFFF"/>
      <x:name val="Cambria"/>
    </x:font>
    <x:font>
      <x:b/>
      <x:sz val="9"/>
      <x:color rgb="FF000000"/>
      <x:name val="Cambria"/>
    </x:font>
    <x:font>
      <x:i/>
      <x:sz val="8"/>
      <x:color rgb="FF666666"/>
      <x:name val="Cambria"/>
    </x:font>
    <x:font>
      <x:sz val="9"/>
      <x:color rgb="FF000000"/>
      <x:name val="Cambria"/>
    </x:font>
    <x:font>
      <x:b/>
      <x:sz val="9"/>
      <x:color rgb="FF0000FF"/>
      <x:name val="Cambria"/>
    </x:font>
    <x:font>
      <x:sz val="10"/>
      <x:color rgb="FF111111"/>
      <x:name val="Calibri"/>
    </x:font>
    <x:font>
      <x:sz val="10"/>
      <x:color rgb="FF3F2A66"/>
      <x:name val="Calibri"/>
    </x:font>
    <x:font>
      <x:sz val="10"/>
      <x:name val="Arial"/>
    </x:font>
    <x:font>
      <x:b/>
      <x:sz val="11"/>
      <x:color rgb="FFFFFFFF"/>
      <x:name val="Calibri"/>
    </x:font>
    <x:font>
      <x:b/>
      <x:sz val="11"/>
      <x:color rgb="FF3F2A66"/>
      <x:name val="Calibri"/>
    </x:font>
    <x:font>
      <x:i/>
      <x:sz val="10"/>
      <x:color rgb="FF3F2A66"/>
      <x:name val="Calibri"/>
    </x:font>
    <x:font>
      <x:sz val="11"/>
      <x:color rgb="FF000000"/>
      <x:name val="Calibri"/>
    </x:font>
    <x:font>
      <x:i/>
      <x:sz val="10"/>
      <x:color rgb="FF777777"/>
      <x:name val="Calibri"/>
    </x:font>
    <x:font>
      <x:i/>
      <x:sz val="11"/>
      <x:color rgb="FF3F2A66"/>
      <x:name val="Calibri"/>
    </x:font>
    <x:font>
      <x:i/>
      <x:sz val="10"/>
      <x:color rgb="FF4CAF50"/>
      <x:name val="Calibri"/>
    </x:font>
    <x:font>
      <x:sz val="11"/>
      <x:color rgb="FF3F2A66"/>
      <x:name val="Calibri"/>
    </x:font>
    <x:font>
      <x:sz val="11"/>
      <x:color rgb="FF2E7D32"/>
      <x:name val="Calibri"/>
    </x:font>
    <x:font>
      <x:sz val="11"/>
      <x:color rgb="FFC62828"/>
      <x:name val="Calibri"/>
    </x:font>
    <x:font>
      <x:b/>
      <x:sz val="12"/>
      <x:color rgb="FFFFFFFF"/>
      <x:name val="Calibri"/>
    </x:font>
    <x:font>
      <x:b/>
      <x:sz val="11"/>
      <x:color rgb="FF000000"/>
      <x:name val="Calibri"/>
    </x:font>
    <x:font>
      <x:b/>
      <x:sz val="9"/>
      <x:color rgb="FFFFFFFF"/>
      <x:name val="Calibri"/>
    </x:font>
    <x:font>
      <x:i/>
      <x:sz val="9"/>
      <x:color rgb="FF3F2A66"/>
      <x:name val="Calibri"/>
    </x:font>
    <x:font>
      <x:b/>
      <x:sz val="10"/>
      <x:color rgb="FF000000"/>
      <x:name val="Calibri"/>
    </x:font>
    <x:font>
      <x:sz val="10"/>
      <x:color rgb="FF000000"/>
      <x:name val="Calibri"/>
    </x:font>
    <x:font>
      <x:b/>
      <x:sz val="9"/>
      <x:name val="Cambria"/>
    </x:font>
    <x:font>
      <x:sz val="11"/>
      <x:color rgb="FF000000"/>
      <x:name val="Calibri"/>
    </x:font>
    <x:font>
      <x:sz val="11"/>
      <x:name val="Calibri"/>
    </x:font>
    <x:font>
      <x:sz val="11"/>
      <x:color rgb="FF000000"/>
      <x:name val="Articulat CF Normal"/>
    </x:font>
    <x:font>
      <x:sz val="10"/>
      <x:name val="Articulat CF Medium"/>
    </x:font>
    <x:font>
      <x:sz val="11"/>
      <x:color rgb="FFFFFFFF"/>
      <x:name val="Articulat CF Medium"/>
    </x:font>
    <x:font>
      <x:sz val="11"/>
      <x:color rgb="FF3F2A66"/>
      <x:name val="Articulat CF Medium"/>
    </x:font>
    <x:font>
      <x:i/>
      <x:sz val="10"/>
      <x:color rgb="FF777777"/>
      <x:name val="Articulat CF"/>
    </x:font>
    <x:font>
      <x:sz val="10"/>
      <x:color rgb="FFFFFFFF"/>
      <x:name val="Articulat CF Medium"/>
    </x:font>
    <x:font>
      <x:b/>
      <x:sz val="11"/>
      <x:color rgb="FFFFFFFF"/>
      <x:name val="Calibri"/>
    </x:font>
    <x:font>
      <x:sz val="9"/>
      <x:color rgb="FF000000"/>
      <x:name val="Cambria"/>
    </x:font>
    <x:font>
      <x:b/>
      <x:sz val="9"/>
      <x:color rgb="FFFFFFFF"/>
      <x:name val="Cambria"/>
    </x:font>
    <x:font>
      <x:b/>
      <x:sz val="9"/>
      <x:color rgb="FF000000"/>
      <x:name val="Cambria"/>
    </x:font>
    <x:font>
      <x:b/>
      <x:sz val="10"/>
      <x:color rgb="FFFFFFFF"/>
      <x:name val="Cambria"/>
    </x:font>
    <x:font>
      <x:sz val="9"/>
      <x:color rgb="FF0000FF"/>
      <x:name val="Cambria"/>
    </x:font>
  </x:fonts>
  <x:fills count="21">
    <x:fill>
      <x:patternFill patternType="none"/>
    </x:fill>
    <x:fill>
      <x:patternFill patternType="gray125"/>
    </x:fill>
    <x:fill>
      <x:patternFill patternType="solid">
        <x:fgColor rgb="FF3F2A66"/>
      </x:patternFill>
    </x:fill>
    <x:fill>
      <x:patternFill patternType="solid">
        <x:fgColor rgb="FFD5CCEB"/>
      </x:patternFill>
    </x:fill>
    <x:fill>
      <x:patternFill patternType="solid">
        <x:fgColor rgb="FFEAE6F2"/>
      </x:patternFill>
    </x:fill>
    <x:fill>
      <x:patternFill patternType="solid">
        <x:fgColor rgb="FFFFFF00"/>
      </x:patternFill>
    </x:fill>
    <x:fill>
      <x:patternFill patternType="solid">
        <x:fgColor rgb="FF3F2A66"/>
      </x:patternFill>
    </x:fill>
    <x:fill>
      <x:patternFill patternType="solid">
        <x:fgColor rgb="FFD5CCEB"/>
      </x:patternFill>
    </x:fill>
    <x:fill>
      <x:patternFill patternType="solid">
        <x:fgColor rgb="FFE8F5E9"/>
      </x:patternFill>
    </x:fill>
    <x:fill>
      <x:patternFill patternType="solid">
        <x:fgColor rgb="FF3F2A66"/>
      </x:patternFill>
    </x:fill>
    <x:fill>
      <x:patternFill patternType="solid">
        <x:fgColor rgb="FFD5CCEB"/>
      </x:patternFill>
    </x:fill>
    <x:fill>
      <x:patternFill patternType="solid">
        <x:fgColor rgb="FFEDE9F7"/>
      </x:patternFill>
    </x:fill>
    <x:fill>
      <x:patternFill patternType="solid">
        <x:fgColor rgb="FFFFFFFF"/>
      </x:patternFill>
    </x:fill>
    <x:fill>
      <x:patternFill patternType="solid">
        <x:fgColor rgb="FFE8F5E9"/>
      </x:patternFill>
    </x:fill>
    <x:fill>
      <x:patternFill patternType="solid">
        <x:fgColor rgb="FFF5F5F5"/>
      </x:patternFill>
    </x:fill>
    <x:fill>
      <x:patternFill patternType="solid">
        <x:fgColor rgb="FFFDECEA"/>
      </x:patternFill>
    </x:fill>
    <x:fill>
      <x:patternFill patternType="solid">
        <x:fgColor theme="0"/>
      </x:patternFill>
    </x:fill>
    <x:fill>
      <x:patternFill patternType="solid">
        <x:fgColor rgb="FFFFFFFF"/>
      </x:patternFill>
    </x:fill>
    <x:fill>
      <x:patternFill patternType="solid">
        <x:fgColor rgb="FFE8F5E9"/>
      </x:patternFill>
    </x:fill>
    <x:fill>
      <x:patternFill patternType="solid">
        <x:fgColor rgb="FF3F2A66"/>
      </x:patternFill>
    </x:fill>
    <x:fill>
      <x:patternFill patternType="solid">
        <x:fgColor rgb="FFD5CCEB"/>
      </x:patternFill>
    </x:fill>
  </x:fills>
  <x:borders count="13">
    <x:border/>
    <x:border>
      <x:left style="thick">
        <x:color rgb="FF0000FF"/>
      </x:left>
      <x:top style="thick">
        <x:color rgb="FF0000FF"/>
      </x:top>
    </x:border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  <x:border>
      <x:bottom style="thin">
        <x:color rgb="FFCCCCCC"/>
      </x:bottom>
    </x:border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  <x:border>
      <x:top style="thin">
        <x:color rgb="FFCCCCCC"/>
      </x:top>
      <x:bottom style="thin">
        <x:color rgb="FFCCCCCC"/>
      </x:bottom>
    </x:border>
    <x:border>
      <x:right style="thin">
        <x:color rgb="FFCCCCCC"/>
      </x:right>
      <x:top style="thin">
        <x:color rgb="FFCCCCCC"/>
      </x:top>
      <x:bottom style="thin">
        <x:color rgb="FFCCCCCC"/>
      </x:bottom>
    </x:border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  <x:border/>
    <x:border>
      <x:left style="thin">
        <x:color rgb="FFCCCCCC"/>
      </x:left>
      <x:top style="thin">
        <x:color rgb="FFCCCCCC"/>
      </x:top>
      <x:bottom style="thin">
        <x:color rgb="FFCCCCCC"/>
      </x:bottom>
    </x:border>
    <x:border>
      <x:top style="thin">
        <x:color rgb="FFCCCCCC"/>
      </x:top>
    </x:border>
    <x:border>
      <x:right style="thin">
        <x:color rgb="FFCCCCCC"/>
      </x:right>
      <x:top style="thin">
        <x:color rgb="FFCCCCCC"/>
      </x:top>
    </x:border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1">
    <x:xf numFmtId="0" fontId="0" fillId="0" borderId="8"/>
    <x:xf numFmtId="173" fontId="1" fillId="0" borderId="1"/>
    <x:xf numFmtId="174" fontId="2" fillId="0" borderId="8"/>
    <x:xf numFmtId="174" fontId="2" fillId="0" borderId="8"/>
    <x:xf numFmtId="174" fontId="2" fillId="0" borderId="8"/>
    <x:xf numFmtId="175" fontId="2" fillId="0" borderId="8"/>
    <x:xf numFmtId="0" fontId="2" fillId="0" borderId="8"/>
    <x:xf numFmtId="0" fontId="2" fillId="0" borderId="8"/>
    <x:xf numFmtId="0" fontId="2" fillId="0" borderId="8"/>
    <x:xf numFmtId="9" fontId="2" fillId="0" borderId="8"/>
    <x:xf numFmtId="9" fontId="2" fillId="0" borderId="8"/>
  </x:cellStyleXfs>
  <x:cellXfs count="224">
    <x:xf numFmtId="0" fontId="0" fillId="0" borderId="0" xfId="0"/>
    <x:xf numFmtId="0" fontId="3" fillId="2" borderId="0" xfId="0" applyAlignment="1">
      <x:alignment vertical="center"/>
    </x:xf>
    <x:xf numFmtId="0" fontId="4" fillId="3" borderId="0" xfId="0" applyAlignment="1">
      <x:alignment horizontal="center" vertical="center"/>
    </x:xf>
    <x:xf numFmtId="0" fontId="4" fillId="3" borderId="0" xfId="0" applyAlignment="1">
      <x:alignment horizontal="center" vertical="center" wrapText="1"/>
    </x:xf>
    <x:xf numFmtId="164" fontId="5" fillId="0" borderId="0" xfId="0"/>
    <x:xf numFmtId="0" fontId="5" fillId="0" borderId="0" xfId="0"/>
    <x:xf numFmtId="3" fontId="5" fillId="0" borderId="0" xfId="0"/>
    <x:xf numFmtId="165" fontId="5" fillId="0" borderId="0" xfId="0"/>
    <x:xf numFmtId="166" fontId="5" fillId="0" borderId="0" xfId="0"/>
    <x:xf numFmtId="0" fontId="6" fillId="0" borderId="0" xfId="0"/>
    <x:xf numFmtId="0" fontId="7" fillId="4" borderId="0" xfId="0"/>
    <x:xf numFmtId="0" fontId="8" fillId="0" borderId="0" xfId="0"/>
    <x:xf numFmtId="0" fontId="9" fillId="0" borderId="0" xfId="0"/>
    <x:xf numFmtId="167" fontId="5" fillId="0" borderId="0" xfId="0"/>
    <x:xf numFmtId="0" fontId="10" fillId="0" borderId="0" xfId="0"/>
    <x:xf numFmtId="168" fontId="5" fillId="0" borderId="0" xfId="0"/>
    <x:xf numFmtId="0" fontId="11" fillId="6" borderId="0" xfId="0"/>
    <x:xf numFmtId="0" fontId="0" fillId="6" borderId="0" xfId="0"/>
    <x:xf numFmtId="0" fontId="12" fillId="7" borderId="0" xfId="0" applyAlignment="1">
      <x:alignment horizontal="center" vertical="center" wrapText="1"/>
    </x:xf>
    <x:xf numFmtId="0" fontId="13" fillId="0" borderId="0" xfId="0"/>
    <x:xf numFmtId="0" fontId="14" fillId="0" borderId="0" xfId="0"/>
    <x:xf numFmtId="0" fontId="14" fillId="0" borderId="0" xfId="0" applyAlignment="1">
      <x:alignment horizontal="left" vertical="center"/>
    </x:xf>
    <x:xf numFmtId="0" fontId="14" fillId="0" borderId="0" xfId="0" applyAlignment="1">
      <x:alignment horizontal="center" vertical="center"/>
    </x:xf>
    <x:xf numFmtId="0" fontId="15" fillId="0" borderId="0" xfId="0" applyAlignment="1">
      <x:alignment horizontal="left" vertical="center"/>
    </x:xf>
    <x:xf numFmtId="166" fontId="14" fillId="0" borderId="0" xfId="0" applyAlignment="1">
      <x:alignment horizontal="center" vertical="center"/>
    </x:xf>
    <x:xf numFmtId="10" fontId="14" fillId="5" borderId="0" xfId="0" applyAlignment="1">
      <x:alignment horizontal="center" vertical="center"/>
    </x:xf>
    <x:xf numFmtId="167" fontId="14" fillId="0" borderId="0" xfId="0" applyAlignment="1">
      <x:alignment horizontal="center" vertical="center"/>
    </x:xf>
    <x:xf numFmtId="10" fontId="14" fillId="0" borderId="0" xfId="0" applyAlignment="1">
      <x:alignment horizontal="center" vertical="center"/>
    </x:xf>
    <x:xf numFmtId="0" fontId="14" fillId="0" borderId="0" xfId="0" applyAlignment="1">
      <x:alignment horizontal="center"/>
    </x:xf>
    <x:xf numFmtId="0" fontId="15" fillId="0" borderId="0" xfId="0" applyAlignment="1">
      <x:alignment horizontal="left"/>
    </x:xf>
    <x:xf numFmtId="164" fontId="14" fillId="0" borderId="0" xfId="0" applyAlignment="1">
      <x:alignment horizontal="center"/>
    </x:xf>
    <x:xf numFmtId="166" fontId="14" fillId="0" borderId="0" xfId="0"/>
    <x:xf numFmtId="164" fontId="14" fillId="0" borderId="0" xfId="0"/>
    <x:xf numFmtId="0" fontId="16" fillId="8" borderId="2" xfId="0" applyAlignment="1">
      <x:alignment horizontal="left" vertical="center"/>
    </x:xf>
    <x:xf numFmtId="0" fontId="17" fillId="0" borderId="3" xfId="0" applyAlignment="1">
      <x:alignment horizontal="center" vertical="center"/>
    </x:xf>
    <x:xf numFmtId="0" fontId="18" fillId="0" borderId="0" xfId="0"/>
    <x:xf numFmtId="0" fontId="19" fillId="9" borderId="4" xfId="0" applyAlignment="1">
      <x:alignment horizontal="left" vertical="center"/>
    </x:xf>
    <x:xf numFmtId="0" fontId="20" fillId="10" borderId="4" xfId="0" applyAlignment="1">
      <x:alignment horizontal="center" vertical="center" wrapText="1"/>
    </x:xf>
    <x:xf numFmtId="0" fontId="22" fillId="12" borderId="4" xfId="0" applyAlignment="1">
      <x:alignment horizontal="left" vertical="center"/>
    </x:xf>
    <x:xf numFmtId="0" fontId="22" fillId="13" borderId="4" xfId="0" applyAlignment="1">
      <x:alignment horizontal="left" vertical="center"/>
    </x:xf>
    <x:xf numFmtId="0" fontId="23" fillId="12" borderId="4" xfId="0" applyAlignment="1">
      <x:alignment horizontal="left" vertical="center" wrapText="1"/>
    </x:xf>
    <x:xf numFmtId="0" fontId="22" fillId="12" borderId="4" xfId="0" applyAlignment="1">
      <x:alignment horizontal="center" vertical="center"/>
    </x:xf>
    <x:xf numFmtId="0" fontId="22" fillId="14" borderId="4" xfId="0" applyAlignment="1">
      <x:alignment horizontal="left" vertical="center"/>
    </x:xf>
    <x:xf numFmtId="0" fontId="23" fillId="14" borderId="4" xfId="0" applyAlignment="1">
      <x:alignment horizontal="left" vertical="center" wrapText="1"/>
    </x:xf>
    <x:xf numFmtId="0" fontId="22" fillId="14" borderId="4" xfId="0" applyAlignment="1">
      <x:alignment horizontal="center" vertical="center"/>
    </x:xf>
    <x:xf numFmtId="0" fontId="29" fillId="9" borderId="4" xfId="0" applyAlignment="1">
      <x:alignment horizontal="center" vertical="center"/>
    </x:xf>
    <x:xf numFmtId="0" fontId="20" fillId="11" borderId="4" xfId="0" applyAlignment="1">
      <x:alignment horizontal="left" vertical="center"/>
    </x:xf>
    <x:xf numFmtId="0" fontId="22" fillId="13" borderId="4" xfId="0" applyAlignment="1">
      <x:alignment horizontal="center" vertical="center"/>
    </x:xf>
    <x:xf numFmtId="0" fontId="21" fillId="11" borderId="4" xfId="0" applyAlignment="1">
      <x:alignment horizontal="left" vertical="center"/>
    </x:xf>
    <x:xf numFmtId="0" fontId="26" fillId="11" borderId="4" xfId="0" applyAlignment="1">
      <x:alignment horizontal="center" vertical="center"/>
    </x:xf>
    <x:xf numFmtId="169" fontId="22" fillId="12" borderId="4" xfId="0" applyAlignment="1">
      <x:alignment horizontal="center" vertical="center"/>
    </x:xf>
    <x:xf numFmtId="170" fontId="22" fillId="12" borderId="4" xfId="0" applyAlignment="1">
      <x:alignment horizontal="center" vertical="center"/>
    </x:xf>
    <x:xf numFmtId="171" fontId="22" fillId="12" borderId="4" xfId="0" applyAlignment="1">
      <x:alignment horizontal="center" vertical="center"/>
    </x:xf>
    <x:xf numFmtId="169" fontId="22" fillId="14" borderId="4" xfId="0" applyAlignment="1">
      <x:alignment horizontal="center" vertical="center"/>
    </x:xf>
    <x:xf numFmtId="170" fontId="22" fillId="14" borderId="4" xfId="0" applyAlignment="1">
      <x:alignment horizontal="center" vertical="center"/>
    </x:xf>
    <x:xf numFmtId="171" fontId="22" fillId="14" borderId="4" xfId="0" applyAlignment="1">
      <x:alignment horizontal="center" vertical="center"/>
    </x:xf>
    <x:xf numFmtId="0" fontId="22" fillId="12" borderId="4" xfId="0" applyAlignment="1">
      <x:alignment horizontal="left" vertical="center" wrapText="1"/>
    </x:xf>
    <x:xf numFmtId="0" fontId="22" fillId="12" borderId="4" xfId="0" applyAlignment="1">
      <x:alignment horizontal="right" vertical="center" wrapText="1"/>
    </x:xf>
    <x:xf numFmtId="0" fontId="22" fillId="14" borderId="4" xfId="0" applyAlignment="1">
      <x:alignment horizontal="left" vertical="center" wrapText="1"/>
    </x:xf>
    <x:xf numFmtId="0" fontId="22" fillId="14" borderId="4" xfId="0" applyAlignment="1">
      <x:alignment horizontal="right" vertical="center" wrapText="1"/>
    </x:xf>
    <x:xf numFmtId="0" fontId="20" fillId="10" borderId="4" xfId="0" applyAlignment="1">
      <x:alignment horizontal="left" vertical="center"/>
    </x:xf>
    <x:xf numFmtId="0" fontId="20" fillId="10" borderId="4" xfId="0" applyAlignment="1">
      <x:alignment horizontal="right" vertical="center"/>
    </x:xf>
    <x:xf numFmtId="0" fontId="20" fillId="11" borderId="4" xfId="0" applyAlignment="1">
      <x:alignment horizontal="left" vertical="center" wrapText="1"/>
    </x:xf>
    <x:xf numFmtId="0" fontId="22" fillId="11" borderId="4" xfId="0" applyAlignment="1">
      <x:alignment horizontal="left" vertical="center" wrapText="1"/>
    </x:xf>
    <x:xf numFmtId="0" fontId="22" fillId="11" borderId="4" xfId="0" applyAlignment="1">
      <x:alignment horizontal="right" vertical="center" wrapText="1"/>
    </x:xf>
    <x:xf numFmtId="0" fontId="22" fillId="13" borderId="4" xfId="0" applyAlignment="1">
      <x:alignment horizontal="right" vertical="center" wrapText="1"/>
    </x:xf>
    <x:xf numFmtId="0" fontId="20" fillId="10" borderId="4" xfId="0" applyAlignment="1">
      <x:alignment horizontal="left" vertical="center" wrapText="1"/>
    </x:xf>
    <x:xf numFmtId="0" fontId="20" fillId="10" borderId="4" xfId="0" applyAlignment="1">
      <x:alignment horizontal="right" vertical="center" wrapText="1"/>
    </x:xf>
    <x:xf numFmtId="0" fontId="22" fillId="13" borderId="4" xfId="0" applyAlignment="1">
      <x:alignment horizontal="left" vertical="center" wrapText="1"/>
    </x:xf>
    <x:xf numFmtId="0" fontId="30" fillId="12" borderId="4" xfId="0" applyAlignment="1">
      <x:alignment horizontal="left" vertical="center" wrapText="1"/>
    </x:xf>
    <x:xf numFmtId="0" fontId="30" fillId="14" borderId="4" xfId="0" applyAlignment="1">
      <x:alignment horizontal="left" vertical="center" wrapText="1"/>
    </x:xf>
    <x:xf numFmtId="0" fontId="29" fillId="9" borderId="4" xfId="0" applyAlignment="1">
      <x:alignment horizontal="left" vertical="center"/>
    </x:xf>
    <x:xf numFmtId="0" fontId="29" fillId="9" borderId="4" xfId="0" applyAlignment="1">
      <x:alignment horizontal="right" vertical="center"/>
    </x:xf>
    <x:xf numFmtId="0" fontId="29" fillId="9" borderId="4" xfId="0"/>
    <x:xf numFmtId="3" fontId="22" fillId="12" borderId="4" xfId="0" applyAlignment="1">
      <x:alignment horizontal="right" vertical="center" wrapText="1"/>
    </x:xf>
    <x:xf numFmtId="164" fontId="22" fillId="12" borderId="4" xfId="0" applyAlignment="1">
      <x:alignment horizontal="right" vertical="center" wrapText="1"/>
    </x:xf>
    <x:xf numFmtId="170" fontId="22" fillId="12" borderId="4" xfId="0" applyAlignment="1">
      <x:alignment horizontal="right" vertical="center" wrapText="1"/>
    </x:xf>
    <x:xf numFmtId="3" fontId="22" fillId="14" borderId="4" xfId="0" applyAlignment="1">
      <x:alignment horizontal="right" vertical="center" wrapText="1"/>
    </x:xf>
    <x:xf numFmtId="164" fontId="22" fillId="14" borderId="4" xfId="0" applyAlignment="1">
      <x:alignment horizontal="right" vertical="center" wrapText="1"/>
    </x:xf>
    <x:xf numFmtId="170" fontId="22" fillId="14" borderId="4" xfId="0" applyAlignment="1">
      <x:alignment horizontal="right" vertical="center" wrapText="1"/>
    </x:xf>
    <x:xf numFmtId="10" fontId="20" fillId="10" borderId="4" xfId="0" applyAlignment="1">
      <x:alignment horizontal="center" vertical="center" wrapText="1"/>
    </x:xf>
    <x:xf numFmtId="10" fontId="22" fillId="12" borderId="4" xfId="0" applyAlignment="1">
      <x:alignment horizontal="left" vertical="center" wrapText="1"/>
    </x:xf>
    <x:xf numFmtId="166" fontId="22" fillId="12" borderId="4" xfId="0" applyAlignment="1">
      <x:alignment horizontal="right" vertical="center" wrapText="1"/>
    </x:xf>
    <x:xf numFmtId="10" fontId="22" fillId="12" borderId="4" xfId="0" applyAlignment="1">
      <x:alignment horizontal="right" vertical="center" wrapText="1"/>
    </x:xf>
    <x:xf numFmtId="10" fontId="22" fillId="14" borderId="4" xfId="0" applyAlignment="1">
      <x:alignment horizontal="left" vertical="center" wrapText="1"/>
    </x:xf>
    <x:xf numFmtId="166" fontId="22" fillId="14" borderId="4" xfId="0" applyAlignment="1">
      <x:alignment horizontal="right" vertical="center" wrapText="1"/>
    </x:xf>
    <x:xf numFmtId="10" fontId="22" fillId="14" borderId="4" xfId="0" applyAlignment="1">
      <x:alignment horizontal="right" vertical="center" wrapText="1"/>
    </x:xf>
    <x:xf numFmtId="10" fontId="20" fillId="10" borderId="4" xfId="0" applyAlignment="1">
      <x:alignment horizontal="right" vertical="center"/>
    </x:xf>
    <x:xf numFmtId="0" fontId="26" fillId="11" borderId="4" xfId="0" applyAlignment="1">
      <x:alignment horizontal="left" vertical="center"/>
    </x:xf>
    <x:xf numFmtId="164" fontId="22" fillId="13" borderId="4" xfId="0" applyAlignment="1">
      <x:alignment horizontal="right" vertical="center"/>
    </x:xf>
    <x:xf numFmtId="0" fontId="25" fillId="11" borderId="4" xfId="0" applyAlignment="1">
      <x:alignment horizontal="right" vertical="center"/>
    </x:xf>
    <x:xf numFmtId="0" fontId="26" fillId="11" borderId="4" xfId="0" applyAlignment="1">
      <x:alignment horizontal="right" vertical="center"/>
    </x:xf>
    <x:xf numFmtId="3" fontId="20" fillId="10" borderId="4" xfId="0" applyAlignment="1">
      <x:alignment horizontal="right" vertical="center"/>
    </x:xf>
    <x:xf numFmtId="166" fontId="20" fillId="10" borderId="4" xfId="0" applyAlignment="1">
      <x:alignment horizontal="right" vertical="center"/>
    </x:xf>
    <x:xf numFmtId="0" fontId="19" fillId="9" borderId="4" xfId="0" applyAlignment="1">
      <x:alignment horizontal="right" vertical="center"/>
    </x:xf>
    <x:xf numFmtId="166" fontId="19" fillId="9" borderId="4" xfId="0" applyAlignment="1">
      <x:alignment horizontal="right" vertical="center"/>
    </x:xf>
    <x:xf numFmtId="172" fontId="22" fillId="12" borderId="4" xfId="0" applyAlignment="1">
      <x:alignment horizontal="right" vertical="center" wrapText="1"/>
    </x:xf>
    <x:xf numFmtId="172" fontId="22" fillId="14" borderId="4" xfId="0" applyAlignment="1">
      <x:alignment horizontal="right" vertical="center" wrapText="1"/>
    </x:xf>
    <x:xf numFmtId="164" fontId="20" fillId="10" borderId="4" xfId="0" applyAlignment="1">
      <x:alignment horizontal="right" vertical="center"/>
    </x:xf>
    <x:xf numFmtId="0" fontId="27" fillId="13" borderId="4" xfId="0" applyAlignment="1">
      <x:alignment horizontal="center" vertical="center"/>
    </x:xf>
    <x:xf numFmtId="0" fontId="28" fillId="15" borderId="4" xfId="0" applyAlignment="1">
      <x:alignment horizontal="center" vertical="center"/>
    </x:xf>
    <x:xf numFmtId="3" fontId="22" fillId="11" borderId="4" xfId="0" applyAlignment="1">
      <x:alignment horizontal="right" vertical="center" wrapText="1"/>
    </x:xf>
    <x:xf numFmtId="164" fontId="22" fillId="11" borderId="4" xfId="0" applyAlignment="1">
      <x:alignment horizontal="right" vertical="center" wrapText="1"/>
    </x:xf>
    <x:xf numFmtId="164" fontId="22" fillId="13" borderId="4" xfId="0" applyAlignment="1">
      <x:alignment horizontal="right" vertical="center" wrapText="1"/>
    </x:xf>
    <x:xf numFmtId="9" fontId="22" fillId="12" borderId="4" xfId="0" applyAlignment="1">
      <x:alignment horizontal="right" vertical="center" wrapText="1"/>
    </x:xf>
    <x:xf numFmtId="9" fontId="22" fillId="14" borderId="4" xfId="0" applyAlignment="1">
      <x:alignment horizontal="right" vertical="center" wrapText="1"/>
    </x:xf>
    <x:xf numFmtId="166" fontId="22" fillId="13" borderId="4" xfId="0" applyAlignment="1">
      <x:alignment horizontal="right" vertical="center" wrapText="1"/>
    </x:xf>
    <x:xf numFmtId="9" fontId="22" fillId="13" borderId="4" xfId="0" applyAlignment="1">
      <x:alignment horizontal="right" vertical="center" wrapText="1"/>
    </x:xf>
    <x:xf numFmtId="9" fontId="20" fillId="10" borderId="4" xfId="0" applyAlignment="1">
      <x:alignment horizontal="right" vertical="center" wrapText="1"/>
    </x:xf>
    <x:xf numFmtId="167" fontId="20" fillId="10" borderId="4" xfId="0" applyAlignment="1">
      <x:alignment horizontal="right" vertical="center"/>
    </x:xf>
    <x:xf numFmtId="166" fontId="29" fillId="9" borderId="4" xfId="0" applyAlignment="1">
      <x:alignment horizontal="right" vertical="center"/>
    </x:xf>
    <x:xf numFmtId="10" fontId="22" fillId="13" borderId="4" xfId="0" applyAlignment="1">
      <x:alignment horizontal="right" vertical="center" wrapText="1"/>
    </x:xf>
    <x:xf numFmtId="0" fontId="31" fillId="9" borderId="4" xfId="0" applyAlignment="1">
      <x:alignment horizontal="center" vertical="center" wrapText="1"/>
    </x:xf>
    <x:xf numFmtId="0" fontId="32" fillId="10" borderId="4" xfId="0" applyAlignment="1">
      <x:alignment horizontal="center" vertical="center" wrapText="1"/>
    </x:xf>
    <x:xf numFmtId="0" fontId="33" fillId="12" borderId="4" xfId="0" applyAlignment="1">
      <x:alignment horizontal="left" vertical="center" wrapText="1"/>
    </x:xf>
    <x:xf numFmtId="0" fontId="34" fillId="13" borderId="4" xfId="0" applyAlignment="1">
      <x:alignment horizontal="left" vertical="center" wrapText="1"/>
    </x:xf>
    <x:xf numFmtId="0" fontId="33" fillId="14" borderId="4" xfId="0" applyAlignment="1">
      <x:alignment horizontal="left" vertical="center" wrapText="1"/>
    </x:xf>
    <x:xf numFmtId="0" fontId="33" fillId="12" borderId="4" xfId="0" applyAlignment="1">
      <x:alignment horizontal="right" vertical="center"/>
    </x:xf>
    <x:xf numFmtId="0" fontId="34" fillId="12" borderId="4" xfId="0" applyAlignment="1">
      <x:alignment horizontal="center" vertical="center"/>
    </x:xf>
    <x:xf numFmtId="0" fontId="33" fillId="14" borderId="4" xfId="0" applyAlignment="1">
      <x:alignment horizontal="right" vertical="center"/>
    </x:xf>
    <x:xf numFmtId="0" fontId="34" fillId="14" borderId="4" xfId="0" applyAlignment="1">
      <x:alignment horizontal="center" vertical="center"/>
    </x:xf>
    <x:xf numFmtId="3" fontId="22" fillId="12" borderId="4" xfId="0" applyAlignment="1">
      <x:alignment horizontal="right" vertical="center"/>
    </x:xf>
    <x:xf numFmtId="0" fontId="22" fillId="12" borderId="4" xfId="0" applyAlignment="1">
      <x:alignment horizontal="right" vertical="center"/>
    </x:xf>
    <x:xf numFmtId="168" fontId="22" fillId="12" borderId="4" xfId="0" applyAlignment="1">
      <x:alignment horizontal="left" vertical="center"/>
    </x:xf>
    <x:xf numFmtId="166" fontId="22" fillId="12" borderId="4" xfId="0" applyAlignment="1">
      <x:alignment horizontal="right" vertical="center"/>
    </x:xf>
    <x:xf numFmtId="164" fontId="22" fillId="12" borderId="4" xfId="0" applyAlignment="1">
      <x:alignment horizontal="right" vertical="center"/>
    </x:xf>
    <x:xf numFmtId="165" fontId="22" fillId="12" borderId="4" xfId="0" applyAlignment="1">
      <x:alignment horizontal="right" vertical="center"/>
    </x:xf>
    <x:xf numFmtId="2" fontId="22" fillId="12" borderId="4" xfId="0" applyAlignment="1">
      <x:alignment horizontal="right" vertical="center"/>
    </x:xf>
    <x:xf numFmtId="168" fontId="22" fillId="14" borderId="4" xfId="0" applyAlignment="1">
      <x:alignment horizontal="left" vertical="center"/>
    </x:xf>
    <x:xf numFmtId="166" fontId="22" fillId="14" borderId="4" xfId="0" applyAlignment="1">
      <x:alignment horizontal="right" vertical="center"/>
    </x:xf>
    <x:xf numFmtId="3" fontId="22" fillId="14" borderId="4" xfId="0" applyAlignment="1">
      <x:alignment horizontal="right" vertical="center"/>
    </x:xf>
    <x:xf numFmtId="164" fontId="22" fillId="14" borderId="4" xfId="0" applyAlignment="1">
      <x:alignment horizontal="right" vertical="center"/>
    </x:xf>
    <x:xf numFmtId="165" fontId="22" fillId="14" borderId="4" xfId="0" applyAlignment="1">
      <x:alignment horizontal="right" vertical="center"/>
    </x:xf>
    <x:xf numFmtId="0" fontId="22" fillId="14" borderId="4" xfId="0" applyAlignment="1">
      <x:alignment horizontal="right" vertical="center"/>
    </x:xf>
    <x:xf numFmtId="2" fontId="22" fillId="14" borderId="4" xfId="0" applyAlignment="1">
      <x:alignment horizontal="right" vertical="center"/>
    </x:xf>
    <x:xf numFmtId="49" fontId="22" fillId="12" borderId="4" xfId="0" applyAlignment="1">
      <x:alignment horizontal="right" vertical="center"/>
    </x:xf>
    <x:xf numFmtId="49" fontId="22" fillId="14" borderId="4" xfId="0" applyAlignment="1">
      <x:alignment horizontal="right" vertical="center"/>
    </x:xf>
    <x:xf numFmtId="0" fontId="21" fillId="11" borderId="4" xfId="0" applyAlignment="1">
      <x:alignment horizontal="right" vertical="center"/>
    </x:xf>
    <x:xf numFmtId="0" fontId="30" fillId="13" borderId="4" xfId="0" applyAlignment="1">
      <x:alignment horizontal="right" vertical="center"/>
    </x:xf>
    <x:xf numFmtId="0" fontId="22" fillId="0" borderId="4" xfId="0" applyAlignment="1">
      <x:alignment horizontal="left" vertical="center"/>
    </x:xf>
    <x:xf numFmtId="0" fontId="20" fillId="0" borderId="4" xfId="0" applyAlignment="1">
      <x:alignment horizontal="right" vertical="center"/>
    </x:xf>
    <x:xf numFmtId="0" fontId="35" fillId="10" borderId="4" xfId="0" applyAlignment="1">
      <x:alignment horizontal="center" vertical="center" wrapText="1"/>
    </x:xf>
    <x:xf numFmtId="0" fontId="35" fillId="10" borderId="4" xfId="0" applyAlignment="1">
      <x:alignment horizontal="center" vertical="center"/>
    </x:xf>
    <x:xf numFmtId="0" fontId="36" fillId="12" borderId="4" xfId="0" applyAlignment="1">
      <x:alignment horizontal="right" vertical="center"/>
    </x:xf>
    <x:xf numFmtId="0" fontId="35" fillId="10" borderId="4" xfId="0" applyAlignment="1">
      <x:alignment horizontal="left" vertical="center"/>
    </x:xf>
    <x:xf numFmtId="166" fontId="35" fillId="10" borderId="4" xfId="0" applyAlignment="1">
      <x:alignment horizontal="right" vertical="center"/>
    </x:xf>
    <x:xf numFmtId="3" fontId="35" fillId="10" borderId="4" xfId="0" applyAlignment="1">
      <x:alignment horizontal="right" vertical="center"/>
    </x:xf>
    <x:xf numFmtId="0" fontId="35" fillId="11" borderId="4" xfId="0" applyAlignment="1">
      <x:alignment horizontal="left" vertical="center"/>
    </x:xf>
    <x:xf numFmtId="166" fontId="35" fillId="11" borderId="4" xfId="0" applyAlignment="1">
      <x:alignment horizontal="right" vertical="center"/>
    </x:xf>
    <x:xf numFmtId="3" fontId="35" fillId="11" borderId="4" xfId="0" applyAlignment="1">
      <x:alignment horizontal="right" vertical="center"/>
    </x:xf>
    <x:xf numFmtId="0" fontId="37" fillId="12" borderId="0" xfId="0" applyAlignment="1">
      <x:alignment horizontal="left" vertical="center"/>
    </x:xf>
    <x:xf numFmtId="0" fontId="37" fillId="13" borderId="0" xfId="0" applyAlignment="1">
      <x:alignment horizontal="left" vertical="center"/>
    </x:xf>
    <x:xf numFmtId="0" fontId="37" fillId="12" borderId="0" xfId="0" applyAlignment="1">
      <x:alignment horizontal="center" vertical="center"/>
    </x:xf>
    <x:xf numFmtId="0" fontId="37" fillId="14" borderId="0" xfId="0" applyAlignment="1">
      <x:alignment horizontal="left" vertical="center"/>
    </x:xf>
    <x:xf numFmtId="0" fontId="37" fillId="14" borderId="0" xfId="0" applyAlignment="1">
      <x:alignment horizontal="center" vertical="center"/>
    </x:xf>
    <x:xf numFmtId="0" fontId="22" fillId="12" borderId="7" xfId="0" applyAlignment="1">
      <x:alignment horizontal="left" vertical="center"/>
    </x:xf>
    <x:xf numFmtId="3" fontId="22" fillId="12" borderId="7" xfId="0" applyAlignment="1">
      <x:alignment horizontal="right" vertical="center"/>
    </x:xf>
    <x:xf numFmtId="0" fontId="22" fillId="12" borderId="7" xfId="0" applyAlignment="1">
      <x:alignment horizontal="right" vertical="center"/>
    </x:xf>
    <x:xf numFmtId="0" fontId="22" fillId="12" borderId="7" xfId="0" applyAlignment="1">
      <x:alignment horizontal="center" vertical="center"/>
    </x:xf>
    <x:xf numFmtId="0" fontId="3" fillId="2" borderId="0" xfId="0" applyAlignment="1">
      <x:alignment vertical="center"/>
    </x:xf>
    <x:xf numFmtId="0" fontId="0" fillId="0" borderId="0" xfId="0"/>
    <x:xf numFmtId="0" fontId="19" fillId="9" borderId="4" xfId="0" applyAlignment="1">
      <x:alignment horizontal="left" vertical="center"/>
    </x:xf>
    <x:xf numFmtId="0" fontId="0" fillId="0" borderId="5" xfId="0"/>
    <x:xf numFmtId="0" fontId="0" fillId="0" borderId="6" xfId="0"/>
    <x:xf numFmtId="0" fontId="21" fillId="11" borderId="4" xfId="0" applyAlignment="1">
      <x:alignment horizontal="left" vertical="center" wrapText="1"/>
    </x:xf>
    <x:xf numFmtId="0" fontId="25" fillId="11" borderId="4" xfId="0" applyAlignment="1">
      <x:alignment horizontal="left" vertical="center" wrapText="1"/>
    </x:xf>
    <x:xf numFmtId="0" fontId="29" fillId="9" borderId="4" xfId="0" applyAlignment="1">
      <x:alignment horizontal="center" vertical="center"/>
    </x:xf>
    <x:xf numFmtId="0" fontId="25" fillId="11" borderId="4" xfId="0" applyAlignment="1">
      <x:alignment horizontal="center" vertical="center" wrapText="1"/>
    </x:xf>
    <x:xf numFmtId="0" fontId="24" fillId="10" borderId="4" xfId="0" applyAlignment="1">
      <x:alignment horizontal="left" vertical="center"/>
    </x:xf>
    <x:xf numFmtId="0" fontId="24" fillId="10" borderId="4" xfId="0" applyAlignment="1">
      <x:alignment horizontal="left" vertical="center" wrapText="1"/>
    </x:xf>
    <x:xf numFmtId="0" fontId="7" fillId="4" borderId="0" xfId="0"/>
    <x:xf numFmtId="0" fontId="38" fillId="12" borderId="4" xfId="0" applyAlignment="1">
      <x:alignment horizontal="left" vertical="center"/>
    </x:xf>
    <x:xf numFmtId="0" fontId="38" fillId="14" borderId="4" xfId="0" applyAlignment="1">
      <x:alignment horizontal="left" vertical="center"/>
    </x:xf>
    <x:xf numFmtId="0" fontId="39" fillId="0" borderId="5" xfId="0"/>
    <x:xf numFmtId="0" fontId="39" fillId="0" borderId="6" xfId="0"/>
    <x:xf numFmtId="0" fontId="40" fillId="9" borderId="4" xfId="0" applyAlignment="1">
      <x:alignment horizontal="left" vertical="center"/>
    </x:xf>
    <x:xf numFmtId="0" fontId="39" fillId="0" borderId="5" xfId="0" applyAlignment="1">
      <x:alignment horizontal="left"/>
    </x:xf>
    <x:xf numFmtId="0" fontId="39" fillId="0" borderId="6" xfId="0" applyAlignment="1">
      <x:alignment horizontal="left"/>
    </x:xf>
    <x:xf numFmtId="0" fontId="40" fillId="9" borderId="4" xfId="0" applyAlignment="1">
      <x:alignment vertical="center"/>
    </x:xf>
    <x:xf numFmtId="0" fontId="39" fillId="0" borderId="5" xfId="0" applyAlignment="1">
      <x:alignment vertical="center"/>
    </x:xf>
    <x:xf numFmtId="0" fontId="39" fillId="0" borderId="6" xfId="0" applyAlignment="1">
      <x:alignment vertical="center"/>
    </x:xf>
    <x:xf numFmtId="0" fontId="41" fillId="10" borderId="4" xfId="0" applyAlignment="1">
      <x:alignment horizontal="center" vertical="center" wrapText="1"/>
    </x:xf>
    <x:xf numFmtId="0" fontId="42" fillId="12" borderId="4" xfId="0" applyAlignment="1">
      <x:alignment horizontal="left" vertical="center" wrapText="1"/>
    </x:xf>
    <x:xf numFmtId="0" fontId="42" fillId="14" borderId="4" xfId="0" applyAlignment="1">
      <x:alignment horizontal="left" vertical="center" wrapText="1"/>
    </x:xf>
    <x:xf numFmtId="0" fontId="42" fillId="16" borderId="4" xfId="0" applyAlignment="1">
      <x:alignment horizontal="left" vertical="center" wrapText="1"/>
    </x:xf>
    <x:xf numFmtId="0" fontId="22" fillId="16" borderId="4" xfId="0" applyAlignment="1">
      <x:alignment horizontal="left" vertical="center"/>
    </x:xf>
    <x:xf numFmtId="0" fontId="19" fillId="9" borderId="9" xfId="0" applyAlignment="1">
      <x:alignment horizontal="center" vertical="center"/>
    </x:xf>
    <x:xf numFmtId="0" fontId="19" fillId="9" borderId="5" xfId="0" applyAlignment="1">
      <x:alignment horizontal="center" vertical="center"/>
    </x:xf>
    <x:xf numFmtId="0" fontId="35" fillId="10" borderId="9" xfId="0" applyAlignment="1">
      <x:alignment horizontal="center" vertical="center"/>
    </x:xf>
    <x:xf numFmtId="0" fontId="36" fillId="12" borderId="9" xfId="0" applyAlignment="1">
      <x:alignment horizontal="right" vertical="center"/>
    </x:xf>
    <x:xf numFmtId="0" fontId="0" fillId="0" borderId="8" xfId="0"/>
    <x:xf numFmtId="0" fontId="20" fillId="0" borderId="8" xfId="0" applyAlignment="1">
      <x:alignment horizontal="center" vertical="center"/>
    </x:xf>
    <x:xf numFmtId="0" fontId="30" fillId="0" borderId="8" xfId="0" applyAlignment="1">
      <x:alignment horizontal="right" vertical="center"/>
    </x:xf>
    <x:xf numFmtId="0" fontId="39" fillId="3" borderId="0" xfId="0" applyAlignment="1">
      <x:alignment horizontal="center" vertical="center"/>
    </x:xf>
    <x:xf numFmtId="0" fontId="39" fillId="10" borderId="4" xfId="0" applyAlignment="1">
      <x:alignment horizontal="center" vertical="center" wrapText="1"/>
    </x:xf>
    <x:xf numFmtId="0" fontId="39" fillId="0" borderId="0" xfId="0"/>
    <x:xf numFmtId="0" fontId="43" fillId="2" borderId="0" xfId="0" applyAlignment="1">
      <x:alignment vertical="center"/>
    </x:xf>
    <x:xf numFmtId="0" fontId="44" fillId="9" borderId="4" xfId="0" applyAlignment="1">
      <x:alignment horizontal="left" vertical="center"/>
    </x:xf>
    <x:xf numFmtId="0" fontId="36" fillId="14" borderId="4" xfId="0" applyAlignment="1">
      <x:alignment horizontal="left" vertical="center" wrapText="1"/>
    </x:xf>
    <x:xf numFmtId="0" fontId="40" fillId="9" borderId="7" xfId="0" applyAlignment="1">
      <x:alignment horizontal="left" vertical="center"/>
    </x:xf>
    <x:xf numFmtId="0" fontId="21" fillId="11" borderId="7" xfId="0" applyAlignment="1">
      <x:alignment horizontal="left" vertical="center" wrapText="1"/>
    </x:xf>
    <x:xf numFmtId="0" fontId="40" fillId="9" borderId="7" xfId="0" applyAlignment="1">
      <x:alignment vertical="center"/>
    </x:xf>
    <x:xf numFmtId="0" fontId="43" fillId="2" borderId="8" xfId="0" applyAlignment="1">
      <x:alignment vertical="center"/>
    </x:xf>
    <x:xf numFmtId="0" fontId="3" fillId="2" borderId="8" xfId="0" applyAlignment="1">
      <x:alignment vertical="center"/>
    </x:xf>
    <x:xf numFmtId="0" fontId="19" fillId="9" borderId="7" xfId="0" applyAlignment="1">
      <x:alignment horizontal="left" vertical="center"/>
    </x:xf>
    <x:xf numFmtId="0" fontId="29" fillId="9" borderId="7" xfId="0" applyAlignment="1">
      <x:alignment horizontal="center" vertical="center"/>
    </x:xf>
    <x:xf numFmtId="0" fontId="25" fillId="11" borderId="7" xfId="0" applyAlignment="1">
      <x:alignment horizontal="center" vertical="center" wrapText="1"/>
    </x:xf>
    <x:xf numFmtId="0" fontId="25" fillId="11" borderId="7" xfId="0" applyAlignment="1">
      <x:alignment horizontal="left" vertical="center" wrapText="1"/>
    </x:xf>
    <x:xf numFmtId="0" fontId="24" fillId="10" borderId="7" xfId="0" applyAlignment="1">
      <x:alignment horizontal="left" vertical="center"/>
    </x:xf>
    <x:xf numFmtId="0" fontId="24" fillId="10" borderId="7" xfId="0" applyAlignment="1">
      <x:alignment horizontal="left" vertical="center" wrapText="1"/>
    </x:xf>
    <x:xf numFmtId="0" fontId="44" fillId="9" borderId="7" xfId="0" applyAlignment="1">
      <x:alignment horizontal="left" vertical="center"/>
    </x:xf>
    <x:xf numFmtId="0" fontId="7" fillId="4" borderId="8" xfId="0"/>
    <x:xf numFmtId="0" fontId="45" fillId="17" borderId="12" xfId="0" applyAlignment="1">
      <x:alignment horizontal="left" vertical="center"/>
    </x:xf>
    <x:xf numFmtId="0" fontId="45" fillId="18" borderId="12" xfId="0" applyAlignment="1">
      <x:alignment horizontal="left" vertical="center"/>
    </x:xf>
    <x:xf numFmtId="167" fontId="45" fillId="17" borderId="12" xfId="0" applyAlignment="1">
      <x:alignment horizontal="left" vertical="center"/>
    </x:xf>
    <x:xf numFmtId="10" fontId="45" fillId="17" borderId="12" xfId="0" applyAlignment="1">
      <x:alignment horizontal="left" vertical="center"/>
    </x:xf>
    <x:xf numFmtId="166" fontId="45" fillId="17" borderId="12" xfId="0" applyAlignment="1">
      <x:alignment horizontal="left" vertical="center"/>
    </x:xf>
    <x:xf numFmtId="164" fontId="45" fillId="17" borderId="12" xfId="0" applyAlignment="1">
      <x:alignment horizontal="left" vertical="center"/>
    </x:xf>
    <x:xf numFmtId="0" fontId="46" fillId="19" borderId="12" xfId="0" applyAlignment="1">
      <x:alignment horizontal="left" vertical="center"/>
    </x:xf>
    <x:xf numFmtId="0" fontId="47" fillId="20" borderId="12" xfId="0" applyAlignment="1">
      <x:alignment horizontal="left" vertical="center"/>
    </x:xf>
    <x:xf numFmtId="0" fontId="48" fillId="19" borderId="0" xfId="0"/>
    <x:xf numFmtId="0" fontId="45" fillId="17" borderId="12" xfId="0" applyAlignment="1"/>
    <x:xf numFmtId="0" fontId="49" fillId="18" borderId="12" xfId="0" applyAlignment="1"/>
    <x:xf numFmtId="0" fontId="0" fillId="0" borderId="12" xfId="0" applyAlignment="1"/>
  </x:cellXfs>
  <x:cellStyles count="11">
    <x:cellStyle name="Normal" xfId="0"/>
    <x:cellStyle name="2" xfId="1"/>
    <x:cellStyle name="Comma 2" xfId="2"/>
    <x:cellStyle name="Comma 2 2" xfId="3"/>
    <x:cellStyle name="Comma 3" xfId="4"/>
    <x:cellStyle name="Currency 2" xfId="5"/>
    <x:cellStyle name="Normal 2" xfId="6"/>
    <x:cellStyle name="Normal 2 2" xfId="7"/>
    <x:cellStyle name="Normal 3" xfId="8"/>
    <x:cellStyle name="Percent 2" xfId="9"/>
    <x:cellStyle name="Percent 2 2" xfId="10"/>
  </x:cellStyles>
  <x:dxfs count="2">
    <x:dxf>
      <x:font>
        <x:sz val="11"/>
        <x:color rgb="FFC62828"/>
        <x:name val="Calibri"/>
      </x:font>
      <x:fill>
        <x:patternFill>
          <x:bgColor rgb="FFFDECEA"/>
        </x:patternFill>
      </x:fill>
    </x:dxf>
    <x:dxf>
      <x:font>
        <x:sz val="11"/>
        <x:color rgb="FF2E7D32"/>
        <x:name val="Calibri"/>
      </x:font>
      <x:fill>
        <x:patternFill>
          <x:bgColor rgb="FFE8F5E9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BFBFBF"/>
      <x:rgbColor rgb="FF888888"/>
      <x:rgbColor rgb="FF9999FF"/>
      <x:rgbColor rgb="FF6435B9"/>
      <x:rgbColor rgb="FFFFFFCC"/>
      <x:rgbColor rgb="FFEAE6F2"/>
      <x:rgbColor rgb="FF660066"/>
      <x:rgbColor rgb="FFFF8080"/>
      <x:rgbColor rgb="FF0066CC"/>
      <x:rgbColor rgb="FFD5CCEB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666666"/>
      <x:rgbColor rgb="FF969696"/>
      <x:rgbColor rgb="FF003366"/>
      <x:rgbColor rgb="FF339966"/>
      <x:rgbColor rgb="FF003300"/>
      <x:rgbColor rgb="FF595959"/>
      <x:rgbColor rgb="FF993300"/>
      <x:rgbColor rgb="FF582EA1"/>
      <x:rgbColor rgb="FF3F2A66"/>
      <x:rgbColor rgb="FF444444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56c905416e4f69" /><Relationship Type="http://schemas.openxmlformats.org/officeDocument/2006/relationships/theme" Target="/xl/theme/theme1.xml" Id="Rc69d4cbf668d415d" /><Relationship Type="http://schemas.openxmlformats.org/officeDocument/2006/relationships/sharedStrings" Target="/xl/sharedStrings.xml" Id="R3991bd7cee2f4525" /><Relationship Type="http://schemas.openxmlformats.org/officeDocument/2006/relationships/worksheet" Target="/xl/worksheets/sheet1.xml" Id="R4baf1fcb55094276" /><Relationship Type="http://schemas.openxmlformats.org/officeDocument/2006/relationships/worksheet" Target="/xl/worksheets/sheet2.xml" Id="R9dcb30fa2bb84452" /><Relationship Type="http://schemas.openxmlformats.org/officeDocument/2006/relationships/worksheet" Target="/xl/worksheets/sheet3.xml" Id="R1a5d330bc74d4ba1" /><Relationship Type="http://schemas.openxmlformats.org/officeDocument/2006/relationships/worksheet" Target="/xl/worksheets/sheet4.xml" Id="Rc7295ec42bef4242" /><Relationship Type="http://schemas.openxmlformats.org/officeDocument/2006/relationships/worksheet" Target="/xl/worksheets/sheet5.xml" Id="R79a59d66330d429f" /><Relationship Type="http://schemas.openxmlformats.org/officeDocument/2006/relationships/worksheet" Target="/xl/worksheets/sheet6.xml" Id="R29443c1e752b403c" /><Relationship Type="http://schemas.openxmlformats.org/officeDocument/2006/relationships/worksheet" Target="/xl/worksheets/sheet7.xml" Id="R1dadcd8469794949" /><Relationship Type="http://schemas.openxmlformats.org/officeDocument/2006/relationships/worksheet" Target="/xl/worksheets/sheet8.xml" Id="Rcfa8ea40ef584a8f" /><Relationship Type="http://schemas.openxmlformats.org/officeDocument/2006/relationships/worksheet" Target="/xl/worksheets/sheet9.xml" Id="R36a736c48b234214" /><Relationship Type="http://schemas.openxmlformats.org/officeDocument/2006/relationships/worksheet" Target="/xl/worksheets/sheet10.xml" Id="Rbcb7a063348642c5" /><Relationship Type="http://schemas.openxmlformats.org/officeDocument/2006/relationships/worksheet" Target="/xl/worksheets/sheet11.xml" Id="R5b3465345c724a55" /><Relationship Type="http://schemas.openxmlformats.org/officeDocument/2006/relationships/worksheet" Target="/xl/worksheets/sheet12.xml" Id="R0b0d95ff492f491a" /><Relationship Type="http://schemas.openxmlformats.org/officeDocument/2006/relationships/worksheet" Target="/xl/worksheets/sheet13.xml" Id="R191d614849394bc2" /><Relationship Type="http://schemas.openxmlformats.org/officeDocument/2006/relationships/worksheet" Target="/xl/worksheets/sheet14.xml" Id="Ra96c34c8e7854fd0" /><Relationship Type="http://schemas.openxmlformats.org/officeDocument/2006/relationships/worksheet" Target="/xl/worksheets/sheet15.xml" Id="R1923a74aaa194dc5" /><Relationship Type="http://schemas.openxmlformats.org/officeDocument/2006/relationships/worksheet" Target="/xl/worksheets/sheet16.xml" Id="R844bb8bbaf8e4b6c" /><Relationship Type="http://schemas.openxmlformats.org/officeDocument/2006/relationships/worksheet" Target="/xl/worksheets/sheet17.xml" Id="Ra083e5f3c4d24f69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3.199999809265137"/>
  <x:cols>
    <x:col min="1" max="1" width="30.33203125" style="160" customWidth="1"/>
    <x:col min="2" max="2" width="25" style="160" customWidth="1"/>
    <x:col min="3" max="3" width="44.5546875" style="160" customWidth="1"/>
    <x:col min="4" max="4" width="10" style="160" customWidth="1"/>
  </x:cols>
  <x:sheetData>
    <x:row r="1" s="160" customFormat="1" ht="18" customHeight="1">
      <x:c r="A1" s="199" t="inlineStr">
        <x:is>
          <x:t xml:space="preserve">ASSIGNMENT INTAKE FORM</x:t>
        </x:is>
      </x:c>
      <x:c r="B1" s="162" t="n"/>
      <x:c r="C1" s="162" t="n"/>
      <x:c r="D1" s="163" t="n"/>
    </x:row>
    <x:row r="2" s="160" customFormat="1" ht="16.049999237060547" customHeight="1">
      <x:c r="A2" s="181" t="inlineStr">
        <x:is>
          <x:t xml:space="preserve">Key</x:t>
        </x:is>
      </x:c>
      <x:c r="B2" s="181" t="inlineStr">
        <x:is>
          <x:t xml:space="preserve">Value  ←  fill here</x:t>
        </x:is>
      </x:c>
      <x:c r="C2" s="181" t="inlineStr">
        <x:is>
          <x:t xml:space="preserve">Hint</x:t>
        </x:is>
      </x:c>
      <x:c r="D2" s="181" t="inlineStr">
        <x:is>
          <x:t xml:space="preserve">Status</x:t>
        </x:is>
      </x:c>
    </x:row>
    <x:row r="3" s="160" customFormat="1" ht="13.949999809265137" customHeight="1">
      <x:c r="A3" s="200" t="inlineStr">
        <x:is>
          <x:t xml:space="preserve">▶  EXPORT JSON  —  see ExportJSON_macro.txt to enable this button in Excel</x:t>
        </x:is>
      </x:c>
      <x:c r="B3" s="162" t="n"/>
      <x:c r="C3" s="162" t="n"/>
      <x:c r="D3" s="163" t="n"/>
    </x:row>
    <x:row r="4" s="160" customFormat="1" ht="13.949999809265137" customHeight="1">
      <x:c r="A4" s="200" t="inlineStr">
        <x:is>
          <x:t xml:space="preserve">Output: {FILE_NO}_variables.json  in the same folder as this workbook</x:t>
        </x:is>
      </x:c>
      <x:c r="B4" s="162" t="n"/>
      <x:c r="C4" s="162" t="n"/>
      <x:c r="D4" s="163" t="n"/>
    </x:row>
    <x:row r="5" s="160" customFormat="1" ht="18" customHeight="1">
      <x:c r="A5" s="199" t="inlineStr">
        <x:is>
          <x:t xml:space="preserve">ASSIGNMENT</x:t>
        </x:is>
      </x:c>
      <x:c r="B5" s="162" t="n"/>
      <x:c r="C5" s="162" t="n"/>
      <x:c r="D5" s="163" t="n"/>
    </x:row>
    <x:row r="6" s="160" customFormat="1" ht="15" customHeight="1">
      <x:c r="A6" s="171" t="inlineStr">
        <x:is>
          <x:t xml:space="preserve">FILE_NO</x:t>
        </x:is>
      </x:c>
      <x:c r="B6" s="39" t="str">
        <x:v>DEMO-001</x:v>
      </x:c>
      <x:c r="C6" s="182" t="str">
        <x:v>e.g. DEMO-001</x:v>
      </x:c>
      <x:c r="D6" s="41" t="str">
        <x:f>IF(B6&lt;&gt;"","✓","—")</x:f>
        <x:v>✓</x:v>
      </x:c>
    </x:row>
    <x:row r="7" s="160" customFormat="1" ht="15" customHeight="1">
      <x:c r="A7" s="172" t="inlineStr">
        <x:is>
          <x:t xml:space="preserve">REPORT_DATE</x:t>
        </x:is>
      </x:c>
      <x:c r="B7" s="39" t="str">
        <x:v>June 26, 2026</x:v>
      </x:c>
      <x:c r="C7" s="183" t="inlineStr">
        <x:is>
          <x:t xml:space="preserve">e.g. June 26, 2026</x:t>
        </x:is>
      </x:c>
      <x:c r="D7" s="44" t="str">
        <x:f>IF(B7&lt;&gt;"","✓","—")</x:f>
        <x:v>✓</x:v>
      </x:c>
    </x:row>
    <x:row r="8" s="160" customFormat="1" ht="15" customHeight="1">
      <x:c r="A8" s="171" t="inlineStr">
        <x:is>
          <x:t xml:space="preserve">ENGAGEMENT_DATE</x:t>
        </x:is>
      </x:c>
      <x:c r="B8" s="39" t="str">
        <x:v>June 26, 2026</x:v>
      </x:c>
      <x:c r="C8" s="182" t="inlineStr">
        <x:is>
          <x:t xml:space="preserve">e.g. June 26, 2026</x:t>
        </x:is>
      </x:c>
      <x:c r="D8" s="41" t="str">
        <x:f>IF(B8&lt;&gt;"","✓","—")</x:f>
        <x:v>✓</x:v>
      </x:c>
    </x:row>
    <x:row r="9" s="160" customFormat="1" ht="15" customHeight="1">
      <x:c r="A9" s="172" t="inlineStr">
        <x:is>
          <x:t xml:space="preserve">EFFECTIVE_DATE</x:t>
        </x:is>
      </x:c>
      <x:c r="B9" s="39" t="str">
        <x:v>May 28, 2026</x:v>
      </x:c>
      <x:c r="C9" s="183" t="inlineStr">
        <x:is>
          <x:t xml:space="preserve">e.g. June 1, 2026</x:t>
        </x:is>
      </x:c>
      <x:c r="D9" s="44" t="str">
        <x:f>IF(B9&lt;&gt;"","✓","—")</x:f>
        <x:v>✓</x:v>
      </x:c>
    </x:row>
    <x:row r="10" s="160" customFormat="1" ht="15" customHeight="1">
      <x:c r="A10" s="171" t="inlineStr">
        <x:is>
          <x:t xml:space="preserve">DELIVERY_DATE</x:t>
        </x:is>
      </x:c>
      <x:c r="B10" s="39" t="str">
        <x:v>June 26, 2026</x:v>
      </x:c>
      <x:c r="C10" s="182" t="inlineStr">
        <x:is>
          <x:t xml:space="preserve">e.g. July 10, 2026</x:t>
        </x:is>
      </x:c>
      <x:c r="D10" s="41" t="str">
        <x:f>IF(B10&lt;&gt;"","✓","—")</x:f>
        <x:v>✓</x:v>
      </x:c>
    </x:row>
    <x:row r="11" s="160" customFormat="1" ht="15" customHeight="1">
      <x:c r="A11" s="172" t="inlineStr">
        <x:is>
          <x:t xml:space="preserve">TURNAROUND_DAYS</x:t>
        </x:is>
      </x:c>
      <x:c r="B11" s="39" t="n"/>
      <x:c r="C11" s="183" t="inlineStr">
        <x:is>
          <x:t xml:space="preserve">e.g. 10</x:t>
        </x:is>
      </x:c>
      <x:c r="D11" s="44" t="str">
        <x:f>IF(B11&lt;&gt;"","✓","—")</x:f>
        <x:v>—</x:v>
      </x:c>
    </x:row>
    <x:row r="12" s="160" customFormat="1" ht="18" customHeight="1">
      <x:c r="A12" s="199" t="inlineStr">
        <x:is>
          <x:t xml:space="preserve">CLIENT &amp; CONTACT</x:t>
        </x:is>
      </x:c>
      <x:c r="B12" s="162" t="n"/>
      <x:c r="C12" s="162" t="n"/>
      <x:c r="D12" s="163" t="n"/>
    </x:row>
    <x:row r="13" s="160" customFormat="1" ht="15" customHeight="1">
      <x:c r="A13" s="42" t="inlineStr">
        <x:is>
          <x:t xml:space="preserve">CLIENT_NAME</x:t>
        </x:is>
      </x:c>
      <x:c r="B13" s="39" t="str">
        <x:v>Northstar Example Holdings, LLC</x:v>
      </x:c>
      <x:c r="C13" s="183" t="inlineStr">
        <x:is>
          <x:t xml:space="preserve">Legal entity name</x:t>
        </x:is>
      </x:c>
      <x:c r="D13" s="44" t="str">
        <x:f>IF(B13&lt;&gt;"","✓","—")</x:f>
        <x:v>✓</x:v>
      </x:c>
    </x:row>
    <x:row r="14" s="160" customFormat="1" ht="15" customHeight="1">
      <x:c r="A14" s="38" t="inlineStr">
        <x:is>
          <x:t xml:space="preserve">CONTACT_NAME</x:t>
        </x:is>
      </x:c>
      <x:c r="B14" s="39" t="str">
        <x:v>Jordan Example</x:v>
      </x:c>
      <x:c r="C14" s="184" t="inlineStr">
        <x:is>
          <x:t xml:space="preserve">Full name</x:t>
        </x:is>
      </x:c>
      <x:c r="D14" s="41" t="str">
        <x:f>IF(B14&lt;&gt;"","✓","—")</x:f>
        <x:v>✓</x:v>
      </x:c>
    </x:row>
    <x:row r="15" s="160" customFormat="1" ht="15" customHeight="1">
      <x:c r="A15" s="42" t="inlineStr">
        <x:is>
          <x:t xml:space="preserve">CONTACT_SALUTATION</x:t>
        </x:is>
      </x:c>
      <x:c r="B15" s="39" t="str">
        <x:v>Ms. Example</x:v>
      </x:c>
      <x:c r="C15" s="183" t="inlineStr">
        <x:is>
          <x:t xml:space="preserve">e.g. Mr. Smith</x:t>
        </x:is>
      </x:c>
      <x:c r="D15" s="44" t="str">
        <x:f>IF(B15&lt;&gt;"","✓","—")</x:f>
        <x:v>✓</x:v>
      </x:c>
    </x:row>
    <x:row r="16" s="160" customFormat="1" ht="15" customHeight="1">
      <x:c r="A16" s="38" t="inlineStr">
        <x:is>
          <x:t xml:space="preserve">CLIENT_ADDR1</x:t>
        </x:is>
      </x:c>
      <x:c r="B16" s="39" t="str">
        <x:v>1000 Demonstration Plaza, Suite 200</x:v>
      </x:c>
      <x:c r="C16" s="184" t="inlineStr">
        <x:is>
          <x:t xml:space="preserve">Street address</x:t>
        </x:is>
      </x:c>
      <x:c r="D16" s="41" t="str">
        <x:f>IF(B16&lt;&gt;"","✓","—")</x:f>
        <x:v>✓</x:v>
      </x:c>
    </x:row>
    <x:row r="17" s="160" customFormat="1" ht="15" customHeight="1">
      <x:c r="A17" s="42" t="inlineStr">
        <x:is>
          <x:t xml:space="preserve">CLIENT_ADDR2</x:t>
        </x:is>
      </x:c>
      <x:c r="B17" s="39" t="str">
        <x:v>Sample City, Alabama 35000</x:v>
      </x:c>
      <x:c r="C17" s="183" t="inlineStr">
        <x:is>
          <x:t xml:space="preserve">City, State ZIP</x:t>
        </x:is>
      </x:c>
      <x:c r="D17" s="44" t="str">
        <x:f>IF(B17&lt;&gt;"","✓","—")</x:f>
        <x:v>✓</x:v>
      </x:c>
    </x:row>
    <x:row r="18" s="160" customFormat="1" ht="15" customHeight="1">
      <x:c r="A18" s="38" t="inlineStr">
        <x:is>
          <x:t xml:space="preserve">INTENDED_USE</x:t>
        </x:is>
      </x:c>
      <x:c r="B18" s="39" t="str">
        <x:v>Internal Decision Making</x:v>
      </x:c>
      <x:c r="C18" s="184" t="inlineStr">
        <x:is>
          <x:t xml:space="preserve">e.g. Mortgage financing</x:t>
        </x:is>
      </x:c>
      <x:c r="D18" s="41" t="str">
        <x:f>IF(B18&lt;&gt;"","✓","—")</x:f>
        <x:v>✓</x:v>
      </x:c>
    </x:row>
    <x:row r="19" s="160" customFormat="1" ht="18" customHeight="1">
      <x:c r="A19" s="199" t="inlineStr">
        <x:is>
          <x:t xml:space="preserve">PROPERTY</x:t>
        </x:is>
      </x:c>
      <x:c r="B19" s="162" t="n"/>
      <x:c r="C19" s="162" t="n"/>
      <x:c r="D19" s="163" t="n"/>
    </x:row>
    <x:row r="20" s="160" customFormat="1" ht="15" customHeight="1">
      <x:c r="A20" s="38" t="inlineStr">
        <x:is>
          <x:t xml:space="preserve">PROPERTY_ADDRESS</x:t>
        </x:is>
      </x:c>
      <x:c r="B20" s="39" t="str">
        <x:v>100 Example Commerce Way</x:v>
      </x:c>
      <x:c r="C20" s="184" t="inlineStr">
        <x:is>
          <x:t xml:space="preserve">Street address</x:t>
        </x:is>
      </x:c>
      <x:c r="D20" s="41" t="str">
        <x:f>IF(B20&lt;&gt;"","✓","—")</x:f>
        <x:v>✓</x:v>
      </x:c>
    </x:row>
    <x:row r="21" s="160" customFormat="1" ht="15" customHeight="1">
      <x:c r="A21" s="42" t="inlineStr">
        <x:is>
          <x:t xml:space="preserve">PROPERTY_CITY</x:t>
        </x:is>
      </x:c>
      <x:c r="B21" s="39" t="str">
        <x:v>Sample City</x:v>
      </x:c>
      <x:c r="C21" s="183" t="str">
        <x:v>e.g. Test Metro</x:v>
      </x:c>
      <x:c r="D21" s="44" t="str">
        <x:f>IF(B21&lt;&gt;"","✓","—")</x:f>
        <x:v>✓</x:v>
      </x:c>
    </x:row>
    <x:row r="22" s="160" customFormat="1" ht="15" customHeight="1">
      <x:c r="A22" s="38" t="inlineStr">
        <x:is>
          <x:t xml:space="preserve">PROPERTY_ZIP</x:t>
        </x:is>
      </x:c>
      <x:c r="B22" s="39" t="str">
        <x:v>35000</x:v>
      </x:c>
      <x:c r="C22" s="184" t="inlineStr">
        <x:is>
          <x:t xml:space="preserve">e.g. 35203</x:t>
        </x:is>
      </x:c>
      <x:c r="D22" s="41" t="str">
        <x:f>IF(B22&lt;&gt;"","✓","—")</x:f>
        <x:v>✓</x:v>
      </x:c>
    </x:row>
    <x:row r="23" s="160" customFormat="1" ht="15" customHeight="1">
      <x:c r="A23" s="42" t="inlineStr">
        <x:is>
          <x:t xml:space="preserve">PROPERTY_COUNTY</x:t>
        </x:is>
      </x:c>
      <x:c r="B23" s="39" t="str">
        <x:v>Example County</x:v>
      </x:c>
      <x:c r="C23" s="183" t="str">
        <x:v>e.g. Example</x:v>
      </x:c>
      <x:c r="D23" s="44" t="str">
        <x:f>IF(B23&lt;&gt;"","✓","—")</x:f>
        <x:v>✓</x:v>
      </x:c>
    </x:row>
    <x:row r="24" s="160" customFormat="1" ht="15" customHeight="1">
      <x:c r="A24" s="38" t="inlineStr">
        <x:is>
          <x:t xml:space="preserve">PROPERTY_STATE</x:t>
        </x:is>
      </x:c>
      <x:c r="B24" s="39" t="str">
        <x:v>Alabama</x:v>
      </x:c>
      <x:c r="C24" s="184" t="inlineStr">
        <x:is>
          <x:t xml:space="preserve">e.g. Alabama</x:t>
        </x:is>
      </x:c>
      <x:c r="D24" s="41" t="n"/>
    </x:row>
    <x:row r="25" s="160" customFormat="1" ht="15" customHeight="1">
      <x:c r="A25" s="42" t="inlineStr">
        <x:is>
          <x:t xml:space="preserve">PARCEL_ID</x:t>
        </x:is>
      </x:c>
      <x:c r="B25" s="39" t="n"/>
      <x:c r="C25" s="183" t="inlineStr">
        <x:is>
          <x:t xml:space="preserve">Tax parcel number</x:t>
        </x:is>
      </x:c>
      <x:c r="D25" s="44" t="str">
        <x:f>IF(B24&lt;&gt;"","✓","—")</x:f>
        <x:v>✓</x:v>
      </x:c>
    </x:row>
    <x:row r="26" s="160" customFormat="1" ht="15" customHeight="1">
      <x:c r="A26" s="38" t="inlineStr">
        <x:is>
          <x:t xml:space="preserve">PROPERTY_SUBTYPE_TABLE</x:t>
        </x:is>
      </x:c>
      <x:c r="B26" s="39" t="str">
        <x:v>Multi-Tenant Office</x:v>
      </x:c>
      <x:c r="C26" s="184" t="inlineStr">
        <x:is>
          <x:t xml:space="preserve">e.g. Multi-Tenant Office</x:t>
        </x:is>
      </x:c>
      <x:c r="D26" s="41" t="str">
        <x:f>IF(B25&lt;&gt;"","✓","—")</x:f>
        <x:v>—</x:v>
      </x:c>
    </x:row>
    <x:row r="27" s="160" customFormat="1" ht="15" customHeight="1">
      <x:c r="A27" s="42" t="inlineStr">
        <x:is>
          <x:t xml:space="preserve">PROPERTY_RIGHTS</x:t>
        </x:is>
      </x:c>
      <x:c r="B27" s="39" t="str">
        <x:v>Leased Fee Estate</x:v>
      </x:c>
      <x:c r="C27" s="183" t="inlineStr">
        <x:is>
          <x:t xml:space="preserve">e.g. Fee Simple</x:t>
        </x:is>
      </x:c>
      <x:c r="D27" s="44" t="str">
        <x:f>IF(B26&lt;&gt;"","✓","—")</x:f>
        <x:v>✓</x:v>
      </x:c>
    </x:row>
    <x:row r="28" s="160" customFormat="1" ht="18" customHeight="1">
      <x:c r="A28" s="199" t="inlineStr">
        <x:is>
          <x:t xml:space="preserve">REPORT_TYPE</x:t>
        </x:is>
      </x:c>
      <x:c r="B28" s="162" t="str">
        <x:v>Appraisal Report</x:v>
      </x:c>
      <x:c r="C28" s="162" t="n"/>
      <x:c r="D28" s="163" t="n"/>
    </x:row>
    <x:row r="29" s="160" customFormat="1" ht="18" customHeight="1">
      <x:c r="A29" s="199" t="inlineStr">
        <x:is>
          <x:t xml:space="preserve">PHYSICAL CHARACTERISTICS</x:t>
        </x:is>
      </x:c>
      <x:c r="B29" s="162" t="n"/>
      <x:c r="C29" s="162" t="n"/>
      <x:c r="D29" s="163" t="n"/>
    </x:row>
    <x:row r="30" s="160" customFormat="1" ht="15" customHeight="1">
      <x:c r="A30" s="38" t="inlineStr">
        <x:is>
          <x:t xml:space="preserve">YEAR_BUILT</x:t>
        </x:is>
      </x:c>
      <x:c r="B30" s="39" t="str">
        <x:v>1980</x:v>
      </x:c>
      <x:c r="C30" s="184" t="inlineStr">
        <x:is>
          <x:t xml:space="preserve">e.g. 1985</x:t>
        </x:is>
      </x:c>
      <x:c r="D30" s="41" t="str">
        <x:f>IF(B29&lt;&gt;"","✓","—")</x:f>
        <x:v>—</x:v>
      </x:c>
    </x:row>
    <x:row r="31" s="160" customFormat="1" ht="15" customHeight="1">
      <x:c r="A31" s="42" t="inlineStr">
        <x:is>
          <x:t xml:space="preserve">YEAR_RENOVATED</x:t>
        </x:is>
      </x:c>
      <x:c r="B31" s="39" t="n"/>
      <x:c r="C31" s="183" t="inlineStr">
        <x:is>
          <x:t xml:space="preserve">Leave blank if N/A</x:t>
        </x:is>
      </x:c>
      <x:c r="D31" s="44" t="str">
        <x:f>IF(B30&lt;&gt;"","✓","—")</x:f>
        <x:v>✓</x:v>
      </x:c>
    </x:row>
    <x:row r="32" s="160" customFormat="1" ht="15" customHeight="1">
      <x:c r="A32" s="38" t="inlineStr">
        <x:is>
          <x:t xml:space="preserve">GBA</x:t>
        </x:is>
      </x:c>
      <x:c r="B32" s="39" t="str">
        <x:v>22,668</x:v>
      </x:c>
      <x:c r="C32" s="184" t="inlineStr">
        <x:is>
          <x:t xml:space="preserve">Gross Building Area</x:t>
        </x:is>
      </x:c>
      <x:c r="D32" s="41" t="str">
        <x:f>IF(B31&lt;&gt;"","✓","—")</x:f>
        <x:v>—</x:v>
      </x:c>
    </x:row>
    <x:row r="33" s="160" customFormat="1" ht="15" customHeight="1">
      <x:c r="A33" s="42" t="inlineStr">
        <x:is>
          <x:t xml:space="preserve">NRA</x:t>
        </x:is>
      </x:c>
      <x:c r="B33" s="39" t="n"/>
      <x:c r="C33" s="183" t="inlineStr">
        <x:is>
          <x:t xml:space="preserve">Net Rentable Area</x:t>
        </x:is>
      </x:c>
      <x:c r="D33" s="44" t="str">
        <x:f>IF(B32&lt;&gt;"","✓","—")</x:f>
        <x:v>✓</x:v>
      </x:c>
    </x:row>
    <x:row r="34" s="160" customFormat="1" ht="18" customHeight="1">
      <x:c r="A34" s="185" t="inlineStr">
        <x:is>
          <x:t xml:space="preserve">LAND_AREA_SF</x:t>
        </x:is>
      </x:c>
      <x:c r="B34" s="33" t="n"/>
      <x:c r="C34" s="184" t="n"/>
      <x:c r="D34" s="34" t="str">
        <x:f>IF(B33&lt;&gt;"","✓","—")</x:f>
        <x:v>—</x:v>
      </x:c>
    </x:row>
    <x:row r="35" s="160" customFormat="1" ht="18" customHeight="1">
      <x:c r="A35" s="42" t="inlineStr">
        <x:is>
          <x:t xml:space="preserve">LAND_AREA_AC</x:t>
        </x:is>
      </x:c>
      <x:c r="B35" s="33" t="n"/>
      <x:c r="C35" s="183" t="n"/>
      <x:c r="D35" s="34" t="str">
        <x:f>IF(B34&lt;&gt;"","✓","—")</x:f>
        <x:v>—</x:v>
      </x:c>
    </x:row>
    <x:row r="36" s="160" customFormat="1" ht="18" customHeight="1">
      <x:c r="A36" s="185" t="inlineStr">
        <x:is>
          <x:t xml:space="preserve">NUM_UNITS</x:t>
        </x:is>
      </x:c>
      <x:c r="B36" s="33" t="n"/>
      <x:c r="C36" s="184" t="n"/>
      <x:c r="D36" s="34" t="str">
        <x:f>IF(B35&lt;&gt;"","✓","—")</x:f>
        <x:v>—</x:v>
      </x:c>
    </x:row>
    <x:row r="37" s="160" customFormat="1" ht="18" customHeight="1">
      <x:c r="A37" s="42" t="inlineStr">
        <x:is>
          <x:t xml:space="preserve">NUM_FLOORS</x:t>
        </x:is>
      </x:c>
      <x:c r="B37" s="33" t="n"/>
      <x:c r="C37" s="183" t="n"/>
      <x:c r="D37" s="34" t="str">
        <x:f>IF(B36&lt;&gt;"","✓","—")</x:f>
        <x:v>—</x:v>
      </x:c>
    </x:row>
    <x:row r="38" s="160" customFormat="1" ht="15" customHeight="1">
      <x:c r="A38" s="185" t="inlineStr">
        <x:is>
          <x:t xml:space="preserve">OCCUPANCY_RATE</x:t>
        </x:is>
      </x:c>
      <x:c r="B38" s="39" t="n"/>
      <x:c r="C38" s="184" t="inlineStr">
        <x:is>
          <x:t xml:space="preserve">e.g. 85%</x:t>
        </x:is>
      </x:c>
      <x:c r="D38" s="41" t="str">
        <x:f>IF(B37&lt;&gt;"","✓","—")</x:f>
        <x:v>—</x:v>
      </x:c>
    </x:row>
    <x:row r="39" s="160" customFormat="1" ht="18" customHeight="1">
      <x:c r="A39" s="42" t="inlineStr">
        <x:is>
          <x:t xml:space="preserve">PARKING_SPACES</x:t>
        </x:is>
      </x:c>
      <x:c r="B39" s="33" t="n"/>
      <x:c r="C39" s="183" t="n"/>
      <x:c r="D39" s="34" t="str">
        <x:f>IF(B38&lt;&gt;"","✓","—")</x:f>
        <x:v>—</x:v>
      </x:c>
    </x:row>
    <x:row r="40" s="160" customFormat="1" ht="15" customHeight="1">
      <x:c r="A40" s="185" t="inlineStr">
        <x:is>
          <x:t xml:space="preserve">ZONING</x:t>
        </x:is>
      </x:c>
      <x:c r="B40" s="39" t="n"/>
      <x:c r="C40" s="184" t="inlineStr">
        <x:is>
          <x:t xml:space="preserve">e.g. B-2</x:t>
        </x:is>
      </x:c>
      <x:c r="D40" s="41" t="str">
        <x:f>IF(B39&lt;&gt;"","✓","—")</x:f>
        <x:v>—</x:v>
      </x:c>
    </x:row>
    <x:row r="41" s="160" customFormat="1" ht="22.049999237060547" customHeight="1">
      <x:c r="A41" s="42" t="inlineStr">
        <x:is>
          <x:t xml:space="preserve">LEGAL_DESCRIPTION</x:t>
        </x:is>
      </x:c>
      <x:c r="B41" t="str">
        <x:v>Demo Lot 1, Example Commerce Center, fictional legal description for software testing only</x:v>
      </x:c>
    </x:row>
    <x:row r="42" s="160" customFormat="1" ht="18" customHeight="1">
      <x:c r="A42" s="199" t="inlineStr">
        <x:is>
          <x:t xml:space="preserve">UTILITIES &amp; SITE SERVICES</x:t>
        </x:is>
      </x:c>
      <x:c r="B42" s="162" t="n"/>
      <x:c r="C42" s="162" t="n"/>
      <x:c r="D42" s="163" t="n"/>
    </x:row>
    <x:row r="43" s="160" customFormat="1" ht="15" customHeight="1">
      <x:c r="A43" s="42" t="inlineStr">
        <x:is>
          <x:t xml:space="preserve">UTILITY_ELECTRIC</x:t>
        </x:is>
      </x:c>
      <x:c r="B43" s="39" t="str">
        <x:v>Example Electric Cooperative</x:v>
      </x:c>
      <x:c r="C43" s="183" t="str">
        <x:v>e.g. Example Electric Cooperative</x:v>
      </x:c>
      <x:c r="D43" s="44" t="n"/>
    </x:row>
    <x:row r="44" s="160" customFormat="1" ht="15" customHeight="1">
      <x:c r="A44" s="38" t="inlineStr">
        <x:is>
          <x:t xml:space="preserve">UTILITY_GAS</x:t>
        </x:is>
      </x:c>
      <x:c r="B44" s="39" t="str">
        <x:v>Example Gas Utility</x:v>
      </x:c>
      <x:c r="C44" s="184" t="str">
        <x:v>e.g. Example Gas Utility</x:v>
      </x:c>
      <x:c r="D44" s="41" t="n"/>
    </x:row>
    <x:row r="45" s="160" customFormat="1" ht="15" customHeight="1">
      <x:c r="A45" s="42" t="inlineStr">
        <x:is>
          <x:t xml:space="preserve">UTILITY_WATER</x:t>
        </x:is>
      </x:c>
      <x:c r="B45" s="39" t="str">
        <x:v>Sample City Water</x:v>
      </x:c>
      <x:c r="C45" s="183" t="str">
        <x:v>e.g. Test Metro Water Works</x:v>
      </x:c>
      <x:c r="D45" s="44" t="n"/>
    </x:row>
    <x:row r="46" s="160" customFormat="1" ht="15" customHeight="1">
      <x:c r="A46" s="38" t="inlineStr">
        <x:is>
          <x:t xml:space="preserve">UTILITY_SEWER</x:t>
        </x:is>
      </x:c>
      <x:c r="B46" s="39" t="str">
        <x:v>Example County</x:v>
      </x:c>
      <x:c r="C46" s="184" t="str">
        <x:v>e.g. Example County</x:v>
      </x:c>
      <x:c r="D46" s="41" t="n"/>
    </x:row>
    <x:row r="47" s="160" customFormat="1" ht="15" customHeight="1">
      <x:c r="A47" s="42" t="inlineStr">
        <x:is>
          <x:t xml:space="preserve">UTILITY_TELECOM</x:t>
        </x:is>
      </x:c>
      <x:c r="B47" s="39" t="str">
        <x:v>Example Telecom</x:v>
      </x:c>
      <x:c r="C47" s="183" t="str">
        <x:v>e.g. Example Telecom</x:v>
      </x:c>
      <x:c r="D47" s="44" t="n"/>
    </x:row>
    <x:row r="48" s="160" customFormat="1" ht="15" customHeight="1">
      <x:c r="A48" s="38" t="inlineStr">
        <x:is>
          <x:t xml:space="preserve">FIRE_PROTECTION</x:t>
        </x:is>
      </x:c>
      <x:c r="B48" s="39" t="str">
        <x:v>Municipal</x:v>
      </x:c>
      <x:c r="C48" s="184" t="inlineStr">
        <x:is>
          <x:t xml:space="preserve">e.g. Municipal / Volunteer</x:t>
        </x:is>
      </x:c>
      <x:c r="D48" s="41" t="n"/>
    </x:row>
    <x:row r="49" s="160" customFormat="1" ht="15" customHeight="1">
      <x:c r="A49" s="42" t="inlineStr">
        <x:is>
          <x:t xml:space="preserve">SITE_LIGHTING</x:t>
        </x:is>
      </x:c>
      <x:c r="B49" s="39" t="str">
        <x:v>Present</x:v>
      </x:c>
      <x:c r="C49" s="183" t="inlineStr">
        <x:is>
          <x:t xml:space="preserve">e.g. Present / None</x:t>
        </x:is>
      </x:c>
      <x:c r="D49" s="44" t="n"/>
    </x:row>
    <x:row r="50" s="160" customFormat="1" ht="15" customHeight="1">
      <x:c r="A50" s="38" t="inlineStr">
        <x:is>
          <x:t xml:space="preserve">SIGNAGE</x:t>
        </x:is>
      </x:c>
      <x:c r="B50" s="39" t="str">
        <x:v>Present</x:v>
      </x:c>
      <x:c r="C50" s="184" t="inlineStr">
        <x:is>
          <x:t xml:space="preserve">e.g. Present / None</x:t>
        </x:is>
      </x:c>
      <x:c r="D50" s="41" t="n"/>
    </x:row>
    <x:row r="51" s="160" customFormat="1" ht="15" customHeight="1">
      <x:c r="A51" s="42" t="n"/>
      <x:c r="B51" s="39" t="n"/>
      <x:c r="C51" s="43" t="n"/>
      <x:c r="D51" s="44" t="n"/>
    </x:row>
    <x:row r="52" s="160" customFormat="1" ht="15" customHeight="1">
      <x:c r="A52" s="38" t="n"/>
      <x:c r="B52" s="39" t="n"/>
      <x:c r="C52" s="40" t="n"/>
      <x:c r="D52" s="41" t="n"/>
    </x:row>
    <x:row r="53" s="160" customFormat="1" ht="18" customHeight="1">
      <x:c r="A53" s="199" t="inlineStr">
        <x:is>
          <x:t xml:space="preserve">HIGHEST &amp; BEST USE</x:t>
        </x:is>
      </x:c>
      <x:c r="B53" s="162" t="n"/>
      <x:c r="C53" s="162" t="n"/>
      <x:c r="D53" s="163" t="n"/>
    </x:row>
    <x:row r="54" s="160" customFormat="1" ht="22.049999237060547" customHeight="1">
      <x:c r="A54" s="35" t="inlineStr">
        <x:is>
          <x:t xml:space="preserve">HBU_TIMING</x:t>
        </x:is>
      </x:c>
      <x:c r="B54" t="str">
        <x:v>Immediately</x:v>
      </x:c>
    </x:row>
    <x:row r="55" s="160" customFormat="1" ht="15" customHeight="1">
      <x:c r="A55" s="42" t="inlineStr">
        <x:is>
          <x:t xml:space="preserve">HBU_VACANT</x:t>
        </x:is>
      </x:c>
      <x:c r="B55" s="39" t="str">
        <x:v>Office Development</x:v>
      </x:c>
      <x:c r="C55" s="183" t="inlineStr">
        <x:is>
          <x:t xml:space="preserve">e.g. Office Development</x:t>
        </x:is>
      </x:c>
      <x:c r="D55" s="44" t="n"/>
    </x:row>
    <x:row r="56" s="160" customFormat="1" ht="15" customHeight="1">
      <x:c r="A56" s="38" t="inlineStr">
        <x:is>
          <x:t xml:space="preserve">HBU_IMPROVED</x:t>
        </x:is>
      </x:c>
      <x:c r="B56" s="39" t="str">
        <x:v>Continued Office Use</x:v>
      </x:c>
      <x:c r="C56" s="183" t="inlineStr">
        <x:is>
          <x:t xml:space="preserve">e.g. Continued Office Use</x:t>
        </x:is>
      </x:c>
      <x:c r="D56" s="41" t="n"/>
    </x:row>
    <x:row r="57" s="160" customFormat="1" ht="15" customHeight="1">
      <x:c r="A57" s="42" t="inlineStr">
        <x:is>
          <x:t xml:space="preserve">HBU_USER</x:t>
        </x:is>
      </x:c>
      <x:c r="B57" s="39" t="str">
        <x:v>Owner-user or investor seeking income-producing commercial property.</x:v>
      </x:c>
      <x:c r="C57" s="183" t="inlineStr">
        <x:is>
          <x:t xml:space="preserve">Likely user description</x:t>
        </x:is>
      </x:c>
      <x:c r="D57" s="44" t="n"/>
    </x:row>
    <x:row r="58" s="160" customFormat="1" ht="15" customHeight="1">
      <x:c r="A58" s="38" t="inlineStr">
        <x:is>
          <x:t xml:space="preserve">HBU_BUYER_VACANT</x:t>
        </x:is>
      </x:c>
      <x:c r="B58" s="39" t="str">
        <x:v>Developer or investor seeking office development opportunity.</x:v>
      </x:c>
      <x:c r="C58" s="183" t="inlineStr">
        <x:is>
          <x:t xml:space="preserve">Likely buyer if vacant</x:t>
        </x:is>
      </x:c>
      <x:c r="D58" s="41" t="n"/>
    </x:row>
    <x:row r="59" s="160" customFormat="1" ht="15" customHeight="1">
      <x:c r="A59" s="42" t="inlineStr">
        <x:is>
          <x:t xml:space="preserve">HBU_BUYER_IMPROVED</x:t>
        </x:is>
      </x:c>
      <x:c r="B59" s="39" t="str">
        <x:v>Local or regional investor seeking stabilized office income.</x:v>
      </x:c>
      <x:c r="C59" s="183" t="inlineStr">
        <x:is>
          <x:t xml:space="preserve">Likely buyer if improved</x:t>
        </x:is>
      </x:c>
      <x:c r="D59" s="44" t="n"/>
    </x:row>
    <x:row r="60" s="160" customFormat="1" ht="15" customHeight="1">
      <x:c r="A60" s="38" t="n"/>
      <x:c r="B60" s="39" t="n"/>
      <x:c r="C60" s="40" t="n"/>
      <x:c r="D60" s="41" t="n"/>
    </x:row>
    <x:row r="61" s="160" customFormat="1" ht="18" customHeight="1">
      <x:c r="A61" s="199" t="inlineStr">
        <x:is>
          <x:t xml:space="preserve">VALUATION APPROACHES</x:t>
        </x:is>
      </x:c>
      <x:c r="B61" s="162" t="n"/>
      <x:c r="C61" s="162" t="n"/>
      <x:c r="D61" s="163" t="n"/>
    </x:row>
    <x:row r="62" s="160" customFormat="1" ht="15" customHeight="1">
      <x:c r="A62" s="38" t="inlineStr">
        <x:is>
          <x:t xml:space="preserve">VALUE_TYPE</x:t>
        </x:is>
      </x:c>
      <x:c r="B62" s="39" t="str">
        <x:v>As-Is Market Value</x:v>
      </x:c>
      <x:c r="C62" s="183" t="inlineStr">
        <x:is>
          <x:t xml:space="preserve">e.g. As-Is Market Value</x:t>
        </x:is>
      </x:c>
      <x:c r="D62" s="41" t="n"/>
    </x:row>
    <x:row r="63" s="160" customFormat="1" ht="15" customHeight="1">
      <x:c r="A63" s="42" t="inlineStr">
        <x:is>
          <x:t xml:space="preserve">VALUE_TYPE_SHORT</x:t>
        </x:is>
      </x:c>
      <x:c r="B63" s="39" t="str">
        <x:v>As-Is</x:v>
      </x:c>
      <x:c r="C63" s="183" t="inlineStr">
        <x:is>
          <x:t xml:space="preserve">e.g. As-Is</x:t>
        </x:is>
      </x:c>
      <x:c r="D63" s="44" t="n"/>
    </x:row>
    <x:row r="64" s="160" customFormat="1" ht="15" customHeight="1">
      <x:c r="A64" s="38" t="inlineStr">
        <x:is>
          <x:t xml:space="preserve">CA_WEIGHT</x:t>
        </x:is>
      </x:c>
      <x:c r="B64" s="39" t="str">
        <x:v>N/A</x:v>
      </x:c>
      <x:c r="C64" s="183" t="inlineStr">
        <x:is>
          <x:t xml:space="preserve">e.g. 0 or N/A</x:t>
        </x:is>
      </x:c>
      <x:c r="D64" s="41" t="n"/>
    </x:row>
    <x:row r="65" s="160" customFormat="1" ht="15" customHeight="1">
      <x:c r="A65" s="42" t="inlineStr">
        <x:is>
          <x:t xml:space="preserve">SCA_WEIGHT</x:t>
        </x:is>
      </x:c>
      <x:c r="B65" s="39" t="str">
        <x:v>60%</x:v>
      </x:c>
      <x:c r="C65" s="183" t="inlineStr">
        <x:is>
          <x:t xml:space="preserve">e.g. 60%</x:t>
        </x:is>
      </x:c>
      <x:c r="D65" s="44" t="n"/>
    </x:row>
    <x:row r="66" s="160" customFormat="1" ht="15" customHeight="1">
      <x:c r="A66" s="38" t="inlineStr">
        <x:is>
          <x:t xml:space="preserve">IA_WEIGHT</x:t>
        </x:is>
      </x:c>
      <x:c r="B66" s="39" t="str">
        <x:v>40%</x:v>
      </x:c>
      <x:c r="C66" s="183" t="inlineStr">
        <x:is>
          <x:t xml:space="preserve">e.g. 40%</x:t>
        </x:is>
      </x:c>
      <x:c r="D66" s="41" t="n"/>
    </x:row>
    <x:row r="67" s="160" customFormat="1" ht="22.049999237060547" customHeight="1">
      <x:c r="A67" s="38" t="inlineStr">
        <x:is>
          <x:t xml:space="preserve">CA_DEVELOPED</x:t>
        </x:is>
      </x:c>
    </x:row>
    <x:row r="68" s="160" customFormat="1" ht="18" customHeight="1">
      <x:c r="A68" s="38" t="inlineStr">
        <x:is>
          <x:t xml:space="preserve">SCA_DEVELOPED</x:t>
        </x:is>
      </x:c>
      <x:c r="B68" s="33" t="n"/>
      <x:c r="C68" s="183" t="n"/>
      <x:c r="D68" s="34" t="str">
        <x:f>IF(B43&lt;&gt;"","✓","—")</x:f>
        <x:v>✓</x:v>
      </x:c>
    </x:row>
    <x:row r="69" s="160" customFormat="1" ht="18" customHeight="1">
      <x:c r="A69" s="38" t="inlineStr">
        <x:is>
          <x:t xml:space="preserve">IA_DEVELOPED</x:t>
        </x:is>
      </x:c>
      <x:c r="B69" s="33" t="n"/>
      <x:c r="C69" s="183" t="n"/>
      <x:c r="D69" s="34" t="str">
        <x:f>IF(B44&lt;&gt;"","✓","—")</x:f>
        <x:v>✓</x:v>
      </x:c>
    </x:row>
    <x:row r="70" s="160" customFormat="1" ht="15" customHeight="1">
      <x:c r="A70" s="38" t="inlineStr">
        <x:is>
          <x:t xml:space="preserve">VALUE_CONCLUSION</x:t>
        </x:is>
      </x:c>
      <x:c r="B70" s="39" t="n"/>
      <x:c r="C70" s="183" t="inlineStr">
        <x:is>
          <x:t xml:space="preserve">e.g. $1,375,000</x:t>
        </x:is>
      </x:c>
      <x:c r="D70" s="41" t="str">
        <x:f>IF(B45&lt;&gt;"","✓","—")</x:f>
        <x:v>✓</x:v>
      </x:c>
    </x:row>
    <x:row r="71" s="160" customFormat="1" ht="15" customHeight="1">
      <x:c r="A71" s="38" t="inlineStr">
        <x:is>
          <x:t xml:space="preserve">VALUE_WORDS</x:t>
        </x:is>
      </x:c>
      <x:c r="B71" s="39" t="str">
        <x:v>ONE MILLION THREE HUNDRED SEVENTY-FIVE THOUSAND DOLLARS</x:v>
      </x:c>
      <x:c r="C71" s="183" t="inlineStr">
        <x:is>
          <x:t xml:space="preserve">e.g. ONE MILLION...</x:t>
        </x:is>
      </x:c>
      <x:c r="D71" s="44" t="str">
        <x:f>IF(B46&lt;&gt;"","✓","—")</x:f>
        <x:v>✓</x:v>
      </x:c>
    </x:row>
    <x:row r="72" s="160" customFormat="1" ht="22.049999237060547" customHeight="1">
      <x:c r="A72" s="38" t="inlineStr">
        <x:is>
          <x:t xml:space="preserve">VALUE_WORDS_FORMAL</x:t>
        </x:is>
      </x:c>
    </x:row>
    <x:row r="73" s="160" customFormat="1" ht="18" customHeight="1">
      <x:c r="A73" s="38" t="inlineStr">
        <x:is>
          <x:t xml:space="preserve">SCA_VALUE</x:t>
        </x:is>
      </x:c>
      <x:c r="B73" s="33" t="n"/>
      <x:c r="C73" s="183" t="n"/>
      <x:c r="D73" s="34" t="str">
        <x:f>IF(B48&lt;&gt;"","✓","—")</x:f>
        <x:v>✓</x:v>
      </x:c>
    </x:row>
    <x:row r="74" s="160" customFormat="1" ht="18" customHeight="1">
      <x:c r="A74" s="38" t="inlineStr">
        <x:is>
          <x:t xml:space="preserve">IA_VALUE</x:t>
        </x:is>
      </x:c>
      <x:c r="B74" s="33" t="n"/>
      <x:c r="C74" s="183" t="n"/>
      <x:c r="D74" s="34" t="str">
        <x:f>IF(B49&lt;&gt;"","✓","—")</x:f>
        <x:v>✓</x:v>
      </x:c>
    </x:row>
    <x:row r="75" s="160" customFormat="1" ht="15" customHeight="1">
      <x:c r="A75" s="38" t="inlineStr">
        <x:is>
          <x:t xml:space="preserve">IA_STABILIZED_VALUE</x:t>
        </x:is>
      </x:c>
      <x:c r="B75" s="39" t="str">
        <x:v>$1,400,000</x:v>
      </x:c>
      <x:c r="C75" s="183" t="inlineStr">
        <x:is>
          <x:t xml:space="preserve">If different</x:t>
        </x:is>
      </x:c>
      <x:c r="D75" s="44" t="str">
        <x:f>IF(B50&lt;&gt;"","✓","—")</x:f>
        <x:v>✓</x:v>
      </x:c>
    </x:row>
    <x:row r="76" s="160" customFormat="1" ht="15" customHeight="1">
      <x:c r="A76" s="38" t="inlineStr">
        <x:is>
          <x:t xml:space="preserve">CAP_RATE</x:t>
        </x:is>
      </x:c>
      <x:c r="B76" s="39" t="n"/>
      <x:c r="C76" s="183" t="inlineStr">
        <x:is>
          <x:t xml:space="preserve">e.g. 9.50%</x:t>
        </x:is>
      </x:c>
      <x:c r="D76" s="41" t="str">
        <x:f>IF(B51&lt;&gt;"","✓","—")</x:f>
        <x:v>—</x:v>
      </x:c>
    </x:row>
    <x:row r="77" s="160" customFormat="1" ht="15" customHeight="1">
      <x:c r="A77" s="38" t="inlineStr">
        <x:is>
          <x:t xml:space="preserve">MARKETING_TIME</x:t>
        </x:is>
      </x:c>
      <x:c r="B77" s="39" t="str">
        <x:v>Six to Twelve Months</x:v>
      </x:c>
      <x:c r="C77" s="183" t="inlineStr">
        <x:is>
          <x:t xml:space="preserve">e.g. Six to Twelve Months</x:t>
        </x:is>
      </x:c>
      <x:c r="D77" s="44" t="str">
        <x:f>IF(B52&lt;&gt;"","✓","—")</x:f>
        <x:v>—</x:v>
      </x:c>
    </x:row>
    <x:row r="78" s="160" customFormat="1" ht="15" customHeight="1">
      <x:c r="A78" s="38" t="inlineStr">
        <x:is>
          <x:t xml:space="preserve">EXPOSURE_TIME</x:t>
        </x:is>
      </x:c>
      <x:c r="B78" s="39" t="str">
        <x:v>Six to Twelve Months</x:v>
      </x:c>
      <x:c r="C78" s="183" t="inlineStr">
        <x:is>
          <x:t xml:space="preserve">e.g. Six to Twelve Months</x:t>
        </x:is>
      </x:c>
      <x:c r="D78" s="41" t="str">
        <x:f>IF(B53&lt;&gt;"","✓","—")</x:f>
        <x:v>—</x:v>
      </x:c>
    </x:row>
    <x:row r="79" s="160" customFormat="1" ht="18" customHeight="1">
      <x:c r="A79" s="199" t="inlineStr">
        <x:is>
          <x:t xml:space="preserve">INCOME</x:t>
        </x:is>
      </x:c>
      <x:c r="B79" s="162" t="n"/>
      <x:c r="C79" s="162" t="n"/>
      <x:c r="D79" s="163" t="n"/>
    </x:row>
    <x:row r="80" s="160" customFormat="1" ht="15" customHeight="1">
      <x:c r="A80" s="38" t="inlineStr">
        <x:is>
          <x:t xml:space="preserve">MARKET_RENT_PSF</x:t>
        </x:is>
      </x:c>
      <x:c r="B80" s="39" t="n"/>
      <x:c r="C80" s="183" t="inlineStr">
        <x:is>
          <x:t xml:space="preserve">e.g. $12.00</x:t>
        </x:is>
      </x:c>
      <x:c r="D80" s="41" t="str">
        <x:f>IF(B55&lt;&gt;"","✓","—")</x:f>
        <x:v>✓</x:v>
      </x:c>
    </x:row>
    <x:row r="81" s="160" customFormat="1" ht="15" customHeight="1">
      <x:c r="A81" s="42" t="inlineStr">
        <x:is>
          <x:t xml:space="preserve">OWNER_OCC_SF</x:t>
        </x:is>
      </x:c>
      <x:c r="B81" s="39" t="str">
        <x:v>10,920</x:v>
      </x:c>
      <x:c r="C81" s="183" t="inlineStr">
        <x:is>
          <x:t xml:space="preserve">0 if none</x:t>
        </x:is>
      </x:c>
      <x:c r="D81" s="44" t="str">
        <x:f>IF(B56&lt;&gt;"","✓","—")</x:f>
        <x:v>✓</x:v>
      </x:c>
    </x:row>
    <x:row r="82" s="160" customFormat="1" ht="15" customHeight="1">
      <x:c r="A82" s="38" t="inlineStr">
        <x:is>
          <x:t xml:space="preserve">OCCUPANCY_PERCENT</x:t>
        </x:is>
      </x:c>
      <x:c r="B82" s="39" t="n"/>
      <x:c r="C82" s="183" t="inlineStr">
        <x:is>
          <x:t xml:space="preserve">e.g. 85%</x:t>
        </x:is>
      </x:c>
      <x:c r="D82" s="41" t="str">
        <x:f>IF(B57&lt;&gt;"","✓","—")</x:f>
        <x:v>✓</x:v>
      </x:c>
    </x:row>
    <x:row r="83" s="160" customFormat="1" ht="15" customHeight="1">
      <x:c r="A83" s="42" t="inlineStr">
        <x:is>
          <x:t xml:space="preserve">PGI</x:t>
        </x:is>
      </x:c>
      <x:c r="B83" s="39" t="n"/>
      <x:c r="C83" s="183" t="inlineStr">
        <x:is>
          <x:t xml:space="preserve">e.g. $272,016</x:t>
        </x:is>
      </x:c>
      <x:c r="D83" s="44" t="str">
        <x:f>IF(B58&lt;&gt;"","✓","—")</x:f>
        <x:v>✓</x:v>
      </x:c>
    </x:row>
    <x:row r="84" s="160" customFormat="1" ht="15" customHeight="1">
      <x:c r="A84" s="38" t="inlineStr">
        <x:is>
          <x:t xml:space="preserve">EGI</x:t>
        </x:is>
      </x:c>
      <x:c r="B84" s="39" t="n"/>
      <x:c r="C84" s="183" t="inlineStr">
        <x:is>
          <x:t xml:space="preserve">e.g. $231,214</x:t>
        </x:is>
      </x:c>
      <x:c r="D84" s="41" t="str">
        <x:f>IF(B59&lt;&gt;"","✓","—")</x:f>
        <x:v>✓</x:v>
      </x:c>
    </x:row>
    <x:row r="85" s="160" customFormat="1" ht="15" customHeight="1">
      <x:c r="A85" s="42" t="inlineStr">
        <x:is>
          <x:t xml:space="preserve">NOI</x:t>
        </x:is>
      </x:c>
      <x:c r="B85" s="39" t="n"/>
      <x:c r="C85" s="183" t="inlineStr">
        <x:is>
          <x:t xml:space="preserve">e.g. $130,484</x:t>
        </x:is>
      </x:c>
      <x:c r="D85" s="44" t="str">
        <x:f>IF(B60&lt;&gt;"","✓","—")</x:f>
        <x:v>—</x:v>
      </x:c>
    </x:row>
    <x:row r="86" s="160" customFormat="1" ht="18" customHeight="1">
      <x:c r="A86" s="199" t="inlineStr">
        <x:is>
          <x:t xml:space="preserve">TAX &amp; LEGAL</x:t>
        </x:is>
      </x:c>
      <x:c r="B86" s="162" t="n"/>
      <x:c r="C86" s="162" t="n"/>
      <x:c r="D86" s="163" t="n"/>
    </x:row>
    <x:row r="87" s="160" customFormat="1" ht="15" customHeight="1">
      <x:c r="A87" s="42" t="inlineStr">
        <x:is>
          <x:t xml:space="preserve">TAX_YEAR</x:t>
        </x:is>
      </x:c>
      <x:c r="B87" s="39" t="str">
        <x:v>2024</x:v>
      </x:c>
      <x:c r="C87" s="183" t="inlineStr">
        <x:is>
          <x:t xml:space="preserve">e.g. 2024</x:t>
        </x:is>
      </x:c>
      <x:c r="D87" s="44" t="n"/>
    </x:row>
    <x:row r="88" s="160" customFormat="1" ht="15" customHeight="1">
      <x:c r="A88" s="38" t="inlineStr">
        <x:is>
          <x:t xml:space="preserve">ASSESSMENT_RATIO</x:t>
        </x:is>
      </x:c>
      <x:c r="B88" s="39" t="str">
        <x:v>20%</x:v>
      </x:c>
      <x:c r="C88" s="183" t="inlineStr">
        <x:is>
          <x:t xml:space="preserve">e.g. 20%</x:t>
        </x:is>
      </x:c>
      <x:c r="D88" s="41" t="n"/>
    </x:row>
    <x:row r="89" s="160" customFormat="1" ht="13.800000190734863" customHeight="1">
      <x:c r="A89" s="38" t="inlineStr">
        <x:is>
          <x:t xml:space="preserve">ASSESSED_VALUE</x:t>
        </x:is>
      </x:c>
      <x:c r="B89" s="33" t="str">
        <x:v>$384,160</x:v>
      </x:c>
      <x:c r="C89" s="183" t="n"/>
      <x:c r="D89" s="34" t="str">
        <x:f>IF(B62&lt;&gt;"","✓","—")</x:f>
        <x:v>✓</x:v>
      </x:c>
    </x:row>
    <x:row r="90" s="160" customFormat="1" ht="13.800000190734863" customHeight="1">
      <x:c r="A90" s="38" t="inlineStr">
        <x:is>
          <x:t xml:space="preserve">ASSESSOR_VALUE</x:t>
        </x:is>
      </x:c>
      <x:c r="B90" s="33" t="str">
        <x:v>$1,920,800</x:v>
      </x:c>
      <x:c r="C90" s="183" t="n"/>
      <x:c r="D90" s="34" t="str">
        <x:f>IF(B63&lt;&gt;"","✓","—")</x:f>
        <x:v>✓</x:v>
      </x:c>
    </x:row>
    <x:row r="91" s="160" customFormat="1" ht="13.800000190734863" customHeight="1">
      <x:c r="A91" s="38" t="inlineStr">
        <x:is>
          <x:t xml:space="preserve">INDICATED_TAX</x:t>
        </x:is>
      </x:c>
      <x:c r="B91" s="33" t="str">
        <x:v>$28,812</x:v>
      </x:c>
      <x:c r="C91" s="183" t="n"/>
      <x:c r="D91" s="34" t="str">
        <x:f>IF(B64&lt;&gt;"","✓","—")</x:f>
        <x:v>✓</x:v>
      </x:c>
    </x:row>
    <x:row r="92" s="160" customFormat="1" ht="13.800000190734863" customHeight="1">
      <x:c r="A92" s="38" t="inlineStr">
        <x:is>
          <x:t xml:space="preserve">MILLAGE_RATE</x:t>
        </x:is>
      </x:c>
      <x:c r="B92" s="33" t="str">
        <x:v>0.0750</x:v>
      </x:c>
      <x:c r="C92" s="183" t="n"/>
      <x:c r="D92" s="34" t="str">
        <x:f>IF(B65&lt;&gt;"","✓","—")</x:f>
        <x:v>✓</x:v>
      </x:c>
    </x:row>
    <x:row r="93" s="160" customFormat="1" ht="13.800000190734863" customHeight="1">
      <x:c r="A93" s="38" t="inlineStr">
        <x:is>
          <x:t xml:space="preserve">ACTUAL_TAX</x:t>
        </x:is>
      </x:c>
      <x:c r="B93" s="33" t="str">
        <x:v>$28,812</x:v>
      </x:c>
      <x:c r="C93" s="183" t="n"/>
      <x:c r="D93" s="34" t="str">
        <x:f>IF(B66&lt;&gt;"","✓","—")</x:f>
        <x:v>✓</x:v>
      </x:c>
    </x:row>
    <x:row r="94" s="160" customFormat="1" ht="18" customHeight="1">
      <x:c r="A94" s="199" t="inlineStr">
        <x:is>
          <x:t xml:space="preserve">ENGAGEMENT &amp; FEE</x:t>
        </x:is>
      </x:c>
      <x:c r="B94" s="162" t="n"/>
      <x:c r="C94" s="162" t="n"/>
      <x:c r="D94" s="163" t="n"/>
    </x:row>
    <x:row r="95" s="160" customFormat="1" ht="15" customHeight="1">
      <x:c r="A95" s="42" t="inlineStr">
        <x:is>
          <x:t xml:space="preserve">FEE_AMOUNT</x:t>
        </x:is>
      </x:c>
      <x:c r="B95" s="39" t="str">
        <x:v>$3,250.00</x:v>
      </x:c>
      <x:c r="C95" s="183" t="inlineStr">
        <x:is>
          <x:t xml:space="preserve">e.g. $3,500</x:t>
        </x:is>
      </x:c>
      <x:c r="D95" s="44" t="str">
        <x:f>IF(B68&lt;&gt;"","✓","—")</x:f>
        <x:v>—</x:v>
      </x:c>
    </x:row>
    <x:row r="96" s="160" customFormat="1" ht="15" customHeight="1">
      <x:c r="A96" s="38" t="inlineStr">
        <x:is>
          <x:t xml:space="preserve">HOURLY_RATE</x:t>
        </x:is>
      </x:c>
      <x:c r="B96" s="39" t="n"/>
      <x:c r="C96" s="183" t="inlineStr">
        <x:is>
          <x:t xml:space="preserve">e.g. $200/hour</x:t>
        </x:is>
      </x:c>
      <x:c r="D96" s="41" t="str">
        <x:f>IF(B69&lt;&gt;"","✓","—")</x:f>
        <x:v>—</x:v>
      </x:c>
    </x:row>
    <x:row r="97" s="160" customFormat="1" ht="15" customHeight="1">
      <x:c r="A97" s="42" t="inlineStr">
        <x:is>
          <x:t xml:space="preserve">PAYMENT_TERMS</x:t>
        </x:is>
      </x:c>
      <x:c r="B97" s="39" t="str">
        <x:v>Payment due prior to delivery of the Appraisal Report</x:v>
      </x:c>
      <x:c r="C97" s="183" t="inlineStr">
        <x:is>
          <x:t xml:space="preserve">e.g. Due upon delivery</x:t>
        </x:is>
      </x:c>
      <x:c r="D97" s="44" t="str">
        <x:f>IF(B70&lt;&gt;"","✓","—")</x:f>
        <x:v>—</x:v>
      </x:c>
    </x:row>
    <x:row r="98" s="160" customFormat="1" ht="15" customHeight="1">
      <x:c r="A98" s="38" t="inlineStr">
        <x:is>
          <x:t xml:space="preserve">INSPECTION_DURATION</x:t>
        </x:is>
      </x:c>
      <x:c r="B98" s="39" t="str">
        <x:v>one to two hours</x:v>
      </x:c>
      <x:c r="C98" s="183" t="inlineStr">
        <x:is>
          <x:t xml:space="preserve">e.g. one to two hours</x:t>
        </x:is>
      </x:c>
      <x:c r="D98" s="41" t="str">
        <x:f>IF(B71&lt;&gt;"","✓","—")</x:f>
        <x:v>✓</x:v>
      </x:c>
    </x:row>
    <x:row r="99" s="160" customFormat="1" ht="18" customHeight="1">
      <x:c r="A99" s="199" t="inlineStr">
        <x:is>
          <x:t xml:space="preserve">INVOICE</x:t>
        </x:is>
      </x:c>
      <x:c r="B99" s="162" t="n"/>
      <x:c r="C99" s="162" t="n"/>
      <x:c r="D99" s="163" t="n"/>
    </x:row>
    <x:row r="100" s="160" customFormat="1" ht="15" customHeight="1">
      <x:c r="A100" s="38" t="inlineStr">
        <x:is>
          <x:t xml:space="preserve">INVOICE_NO</x:t>
        </x:is>
      </x:c>
      <x:c r="B100" s="39" t="str">
        <x:v>DEMO-001</x:v>
      </x:c>
      <x:c r="C100" s="183" t="str">
        <x:v>e.g. INV-DEMO-001</x:v>
      </x:c>
      <x:c r="D100" s="41" t="str">
        <x:f>IF(B73&lt;&gt;"","✓","—")</x:f>
        <x:v>—</x:v>
      </x:c>
    </x:row>
    <x:row r="101" s="160" customFormat="1" ht="15" customHeight="1">
      <x:c r="A101" s="42" t="inlineStr">
        <x:is>
          <x:t xml:space="preserve">INVOICE_DATE</x:t>
        </x:is>
      </x:c>
      <x:c r="B101" s="39" t="str">
        <x:v>June 26, 2026</x:v>
      </x:c>
      <x:c r="C101" s="183" t="inlineStr">
        <x:is>
          <x:t xml:space="preserve">e.g. July 10, 2026</x:t>
        </x:is>
      </x:c>
      <x:c r="D101" s="44" t="str">
        <x:f>IF(B74&lt;&gt;"","✓","—")</x:f>
        <x:v>—</x:v>
      </x:c>
    </x:row>
    <x:row r="102" s="160" customFormat="1" ht="15" customHeight="1">
      <x:c r="A102" s="38" t="inlineStr">
        <x:is>
          <x:t xml:space="preserve">INVOICE_TOTAL</x:t>
        </x:is>
      </x:c>
      <x:c r="B102" s="39" t="str">
        <x:v>$3,250.00</x:v>
      </x:c>
      <x:c r="C102" s="183" t="inlineStr">
        <x:is>
          <x:t xml:space="preserve">Usually = FEE_AMOUNT</x:t>
        </x:is>
      </x:c>
      <x:c r="D102" s="41" t="str">
        <x:f>IF(B75&lt;&gt;"","✓","—")</x:f>
        <x:v>✓</x:v>
      </x:c>
    </x:row>
    <x:row r="103" s="160" customFormat="1" ht="15" customHeight="1">
      <x:c r="A103" s="42" t="inlineStr">
        <x:is>
          <x:t xml:space="preserve">DUE_DATE</x:t>
        </x:is>
      </x:c>
      <x:c r="B103" s="39" t="str">
        <x:v>June 26, 2026</x:v>
      </x:c>
      <x:c r="C103" s="183" t="inlineStr">
        <x:is>
          <x:t xml:space="preserve">e.g. July 24, 2026</x:t>
        </x:is>
      </x:c>
      <x:c r="D103" s="44" t="str">
        <x:f>IF(B76&lt;&gt;"","✓","—")</x:f>
        <x:v>—</x:v>
      </x:c>
    </x:row>
    <x:row r="104" s="160" customFormat="1" ht="15" customHeight="1">
      <x:c r="A104" s="38" t="inlineStr">
        <x:is>
          <x:t xml:space="preserve">SERVICE_DESCRIPTION</x:t>
        </x:is>
      </x:c>
      <x:c r="B104" s="39" t="str">
        <x:v>Appraisal of 100 Example Commerce Way, Sample City, Alabama 35000</x:v>
      </x:c>
      <x:c r="C104" s="183" t="inlineStr">
        <x:is>
          <x:t xml:space="preserve">One-line service desc</x:t>
        </x:is>
      </x:c>
      <x:c r="D104" s="41" t="str">
        <x:f>IF(B77&lt;&gt;"","✓","—")</x:f>
        <x:v>✓</x:v>
      </x:c>
    </x:row>
    <x:row r="105" s="160" customFormat="1" ht="15" customHeight="1">
      <x:c r="A105" s="42" t="inlineStr">
        <x:is>
          <x:t xml:space="preserve">ADDL_SERVICES</x:t>
        </x:is>
      </x:c>
      <x:c r="B105" s="39" t="str"/>
      <x:c r="C105" s="183" t="inlineStr">
        <x:is>
          <x:t xml:space="preserve">Leave blank if N/A</x:t>
        </x:is>
      </x:c>
      <x:c r="D105" s="44" t="str">
        <x:f>IF(B78&lt;&gt;"","✓","—")</x:f>
        <x:v>✓</x:v>
      </x:c>
    </x:row>
    <x:row r="106" s="160" customFormat="1" ht="15" customHeight="1">
      <x:c r="A106" s="38" t="inlineStr">
        <x:is>
          <x:t xml:space="preserve">ADDL_FEE</x:t>
        </x:is>
      </x:c>
      <x:c r="B106" s="39" t="str"/>
      <x:c r="C106" s="183" t="inlineStr">
        <x:is>
          <x:t xml:space="preserve">Leave blank if N/A</x:t>
        </x:is>
      </x:c>
      <x:c r="D106" s="41" t="str">
        <x:f>IF(B79&lt;&gt;"","✓","—")</x:f>
        <x:v>—</x:v>
      </x:c>
    </x:row>
    <x:row r="107" s="160" customFormat="1" ht="15" customHeight="1">
      <x:c r="A107" s="42" t="inlineStr">
        <x:is>
          <x:t xml:space="preserve">REMIT_ADDRESS</x:t>
        </x:is>
      </x:c>
      <x:c r="B107" s="39" t="str">
        <x:v>2159 Rocky Ridge Road, Suite 103, Hoover, Alabama 35216</x:v>
      </x:c>
      <x:c r="C107" s="183" t="inlineStr">
        <x:is>
          <x:t xml:space="preserve">e.g. P.O. Box...</x:t>
        </x:is>
      </x:c>
      <x:c r="D107" s="44" t="str">
        <x:f>IF(B80&lt;&gt;"","✓","—")</x:f>
        <x:v>—</x:v>
      </x:c>
    </x:row>
    <x:row r="108" s="160" customFormat="1" ht="15" customHeight="1">
      <x:c r="A108" s="38" t="inlineStr">
        <x:is>
          <x:t xml:space="preserve">INVOICE_NOTES</x:t>
        </x:is>
      </x:c>
      <x:c r="B108" s="39" t="str"/>
      <x:c r="C108" s="183" t="inlineStr">
        <x:is>
          <x:t xml:space="preserve">Optional note to client</x:t>
        </x:is>
      </x:c>
      <x:c r="D108" s="41" t="str">
        <x:f>IF(B81&lt;&gt;"","✓","—")</x:f>
        <x:v>✓</x:v>
      </x:c>
    </x:row>
    <x:row r="110" s="160" customFormat="1" ht="18" customHeight="1">
      <x:c r="A110" s="199" t="inlineStr">
        <x:is>
          <x:t xml:space="preserve">PROPERTY &amp; OWNERSHIP</x:t>
        </x:is>
      </x:c>
      <x:c r="B110" s="162" t="n"/>
      <x:c r="C110" s="162" t="n"/>
      <x:c r="D110" s="163" t="n"/>
    </x:row>
    <x:row r="111" s="160" customFormat="1" ht="17.399999618530273" customHeight="1">
      <x:c r="A111" s="150" t="inlineStr">
        <x:is>
          <x:t xml:space="preserve">OWNER_NAME</x:t>
        </x:is>
      </x:c>
      <x:c r="B111" s="151" t="str">
        <x:v>Example Property Owner, LLC</x:v>
      </x:c>
      <x:c r="C111" s="183" t="inlineStr">
        <x:is>
          <x:t xml:space="preserve">Current owner of record</x:t>
        </x:is>
      </x:c>
      <x:c r="D111" s="152" t="str">
        <x:f>IF(B111&lt;&gt;"","✓","—")</x:f>
        <x:v>✓</x:v>
      </x:c>
    </x:row>
    <x:row r="112" s="160" customFormat="1" ht="17.399999618530273" customHeight="1">
      <x:c r="A112" s="153" t="inlineStr">
        <x:is>
          <x:t xml:space="preserve">PROPERTY_CLASS</x:t>
        </x:is>
      </x:c>
      <x:c r="B112" s="151" t="str">
        <x:v>Class B</x:v>
      </x:c>
      <x:c r="C112" s="183" t="inlineStr">
        <x:is>
          <x:t xml:space="preserve">e.g. Class A / Class B / Class C</x:t>
        </x:is>
      </x:c>
      <x:c r="D112" s="154" t="str">
        <x:f>IF(B112&lt;&gt;"","✓","—")</x:f>
        <x:v>✓</x:v>
      </x:c>
    </x:row>
    <x:row r="113" s="160" customFormat="1" ht="16.799999237060547" customHeight="1">
      <x:c r="A113" s="150" t="inlineStr">
        <x:is>
          <x:t xml:space="preserve">SUBMARKET</x:t>
        </x:is>
      </x:c>
      <x:c r="B113" s="151" t="str">
        <x:v>Demo North</x:v>
      </x:c>
      <x:c r="C113" s="183" t="str">
        <x:v>e.g. Sample City / Demo Hills / Downtown</x:v>
      </x:c>
      <x:c r="D113" s="152" t="str">
        <x:f>IF(B113&lt;&gt;"","✓","—")</x:f>
        <x:v>✓</x:v>
      </x:c>
    </x:row>
    <x:row r="114" s="160" customFormat="1" ht="17.399999618530273" customHeight="1">
      <x:c r="A114" s="153" t="inlineStr">
        <x:is>
          <x:t xml:space="preserve">PRIOR_SALE_DATE</x:t>
        </x:is>
      </x:c>
      <x:c r="B114" s="151" t="str">
        <x:v>No arm's-length transfers within the past three years.</x:v>
      </x:c>
      <x:c r="C114" s="183" t="inlineStr">
        <x:is>
          <x:t xml:space="preserve">Most recent prior sale date</x:t>
        </x:is>
      </x:c>
      <x:c r="D114" s="154" t="str">
        <x:f>IF(B114&lt;&gt;"","✓","—")</x:f>
        <x:v>✓</x:v>
      </x:c>
    </x:row>
    <x:row r="115" s="160" customFormat="1" ht="17.399999618530273" customHeight="1">
      <x:c r="A115" s="150" t="inlineStr">
        <x:is>
          <x:t xml:space="preserve">PRIOR_SALE_PRICE</x:t>
        </x:is>
      </x:c>
      <x:c r="B115" s="151" t="str">
        <x:v>N/A</x:v>
      </x:c>
      <x:c r="C115" s="183" t="inlineStr">
        <x:is>
          <x:t xml:space="preserve">Most recent prior sale price</x:t>
        </x:is>
      </x:c>
      <x:c r="D115" s="152" t="str">
        <x:f>IF(B115&lt;&gt;"","✓","—")</x:f>
        <x:v>✓</x:v>
      </x:c>
    </x:row>
    <x:row r="116" s="160" customFormat="1" ht="17.399999618530273" customHeight="1">
      <x:c r="A116" s="153" t="inlineStr">
        <x:is>
          <x:t xml:space="preserve">CURRENT_CONTRACT_PRICE</x:t>
        </x:is>
      </x:c>
      <x:c r="B116" s="151" t="str">
        <x:v>Not Subject to a Current Purchase Contract</x:v>
      </x:c>
      <x:c r="C116" s="183" t="inlineStr">
        <x:is>
          <x:t xml:space="preserve">Leave blank if not under contract</x:t>
        </x:is>
      </x:c>
      <x:c r="D116" s="154" t="str">
        <x:f>IF(B116&lt;&gt;"","✓","—")</x:f>
        <x:v>✓</x:v>
      </x:c>
    </x:row>
    <x:row r="117" s="160" customFormat="1" ht="17.399999618530273" customHeight="1">
      <x:c r="A117" s="150" t="inlineStr">
        <x:is>
          <x:t xml:space="preserve">INSPECTION_DATE</x:t>
        </x:is>
      </x:c>
      <x:c r="B117" s="151" t="str">
        <x:v>May 26, 2026</x:v>
      </x:c>
      <x:c r="C117" s="183" t="inlineStr">
        <x:is>
          <x:t xml:space="preserve">Date of physical inspection</x:t>
        </x:is>
      </x:c>
      <x:c r="D117" s="152" t="str">
        <x:f>IF(B117&lt;&gt;"","✓","—")</x:f>
        <x:v>✓</x:v>
      </x:c>
    </x:row>
    <x:row r="118" s="160" customFormat="1" ht="17.399999618530273" customHeight="1">
      <x:c r="A118" s="153" t="inlineStr">
        <x:is>
          <x:t xml:space="preserve">UNIT_OF_COMPARISON</x:t>
        </x:is>
      </x:c>
      <x:c r="B118" s="151" t="n"/>
      <x:c r="C118" s="183" t="inlineStr">
        <x:is>
          <x:t xml:space="preserve">e.g. Price per SF / Price per Unit</x:t>
        </x:is>
      </x:c>
      <x:c r="D118" s="154" t="str">
        <x:f>IF(B118&lt;&gt;"","✓","—")</x:f>
        <x:v>—</x:v>
      </x:c>
    </x:row>
    <x:row r="119" s="160" customFormat="1" ht="17.399999618530273" customHeight="1">
      <x:c r="A119" s="150" t="inlineStr">
        <x:is>
          <x:t xml:space="preserve">EXTRAORDINARY_ASSUMPTION</x:t>
        </x:is>
      </x:c>
      <x:c r="B119" s="151" t="str">
        <x:v>The subject property is assumed capable of being subdivided as analyzed herein.</x:v>
      </x:c>
      <x:c r="C119" s="183" t="inlineStr">
        <x:is>
          <x:t xml:space="preserve">Leave blank if none</x:t>
        </x:is>
      </x:c>
      <x:c r="D119" s="152" t="str">
        <x:f>IF(B119&lt;&gt;"","✓","—")</x:f>
        <x:v>✓</x:v>
      </x:c>
    </x:row>
    <x:row r="120" s="160" customFormat="1" ht="17.399999618530273" customHeight="1">
      <x:c r="A120" s="153" t="inlineStr">
        <x:is>
          <x:t xml:space="preserve">HYPOTHETICAL_CONDITION</x:t>
        </x:is>
      </x:c>
      <x:c r="B120" s="151" t="str">
        <x:v>None</x:v>
      </x:c>
      <x:c r="C120" s="183" t="inlineStr">
        <x:is>
          <x:t xml:space="preserve">Leave blank if none</x:t>
        </x:is>
      </x:c>
      <x:c r="D120" s="154" t="str">
        <x:f>IF(B120&lt;&gt;"","✓","—")</x:f>
        <x:v>✓</x:v>
      </x:c>
    </x:row>
    <x:row r="121" s="160" customFormat="1" ht="18" customHeight="1">
      <x:c r="A121" s="201" t="inlineStr">
        <x:is>
          <x:t xml:space="preserve">BUILDING DESCRIPTION</x:t>
        </x:is>
      </x:c>
      <x:c r="B121" s="162" t="n"/>
      <x:c r="C121" s="162" t="n"/>
      <x:c r="D121" s="163" t="n"/>
    </x:row>
    <x:row r="122" s="160" customFormat="1" ht="17.399999618530273" customHeight="1">
      <x:c r="A122" s="150" t="inlineStr">
        <x:is>
          <x:t xml:space="preserve">NLA</x:t>
        </x:is>
      </x:c>
      <x:c r="B122" s="151" t="str">
        <x:v>20,383</x:v>
      </x:c>
      <x:c r="C122" s="183" t="inlineStr">
        <x:is>
          <x:t xml:space="preserve">Net Leasable Area (SF)</x:t>
        </x:is>
      </x:c>
      <x:c r="D122" s="152" t="str">
        <x:f>IF(B122&lt;&gt;"","✓","—")</x:f>
        <x:v>✓</x:v>
      </x:c>
    </x:row>
    <x:row r="123" s="160" customFormat="1" ht="17.399999618530273" customHeight="1">
      <x:c r="A123" s="153" t="inlineStr">
        <x:is>
          <x:t xml:space="preserve">FOUNDATION</x:t>
        </x:is>
      </x:c>
      <x:c r="B123" s="151" t="str">
        <x:v>Wood Subfloor</x:v>
      </x:c>
      <x:c r="C123" s="183" t="inlineStr">
        <x:is>
          <x:t xml:space="preserve">e.g. Slab / Crawl Space / Basement</x:t>
        </x:is>
      </x:c>
      <x:c r="D123" s="154" t="str">
        <x:f>IF(B123&lt;&gt;"","✓","—")</x:f>
        <x:v>✓</x:v>
      </x:c>
    </x:row>
    <x:row r="124" s="160" customFormat="1" ht="17.399999618530273" customHeight="1">
      <x:c r="A124" s="150" t="inlineStr">
        <x:is>
          <x:t xml:space="preserve">FRAME</x:t>
        </x:is>
      </x:c>
      <x:c r="B124" s="151" t="str">
        <x:v>Wood Frame</x:v>
      </x:c>
      <x:c r="C124" s="183" t="inlineStr">
        <x:is>
          <x:t xml:space="preserve">e.g. Steel / Wood Frame / Masonry</x:t>
        </x:is>
      </x:c>
      <x:c r="D124" s="152" t="str">
        <x:f>IF(B124&lt;&gt;"","✓","—")</x:f>
        <x:v>✓</x:v>
      </x:c>
    </x:row>
    <x:row r="125" s="160" customFormat="1" ht="17.399999618530273" customHeight="1">
      <x:c r="A125" s="153" t="inlineStr">
        <x:is>
          <x:t xml:space="preserve">EXTERIOR_WALLS</x:t>
        </x:is>
      </x:c>
      <x:c r="B125" s="151" t="str">
        <x:v>Brick</x:v>
      </x:c>
      <x:c r="C125" s="183" t="inlineStr">
        <x:is>
          <x:t xml:space="preserve">e.g. Brick / EIFS / Metal Panel</x:t>
        </x:is>
      </x:c>
      <x:c r="D125" s="154" t="str">
        <x:f>IF(B125&lt;&gt;"","✓","—")</x:f>
        <x:v>✓</x:v>
      </x:c>
    </x:row>
    <x:row r="126" s="160" customFormat="1" ht="17.399999618530273" customHeight="1">
      <x:c r="A126" s="150" t="inlineStr">
        <x:is>
          <x:t xml:space="preserve">ROOF</x:t>
        </x:is>
      </x:c>
      <x:c r="B126" s="151" t="str">
        <x:v>Built Up</x:v>
      </x:c>
      <x:c r="C126" s="183" t="inlineStr">
        <x:is>
          <x:t xml:space="preserve">e.g. Built-Up / TPO / Metal</x:t>
        </x:is>
      </x:c>
      <x:c r="D126" s="152" t="str">
        <x:f>IF(B126&lt;&gt;"","✓","—")</x:f>
        <x:v>✓</x:v>
      </x:c>
    </x:row>
    <x:row r="127" s="160" customFormat="1" ht="17.399999618530273" customHeight="1">
      <x:c r="A127" s="153" t="inlineStr">
        <x:is>
          <x:t xml:space="preserve">HVAC</x:t>
        </x:is>
      </x:c>
      <x:c r="B127" s="151" t="str">
        <x:v>Central Heating and Cooling</x:v>
      </x:c>
      <x:c r="C127" s="183" t="inlineStr">
        <x:is>
          <x:t xml:space="preserve">e.g. Central / Package Units / Split</x:t>
        </x:is>
      </x:c>
      <x:c r="D127" s="154" t="str">
        <x:f>IF(B127&lt;&gt;"","✓","—")</x:f>
        <x:v>✓</x:v>
      </x:c>
    </x:row>
    <x:row r="128" s="160" customFormat="1" ht="17.399999618530273" customHeight="1">
      <x:c r="A128" s="150" t="inlineStr">
        <x:is>
          <x:t xml:space="preserve">INTERIOR_WALLS</x:t>
        </x:is>
      </x:c>
      <x:c r="B128" s="151" t="str">
        <x:v>Drywall</x:v>
      </x:c>
      <x:c r="C128" s="183" t="inlineStr">
        <x:is>
          <x:t xml:space="preserve">e.g. Drywall / Painted CMU</x:t>
        </x:is>
      </x:c>
      <x:c r="D128" s="152" t="str">
        <x:f>IF(B128&lt;&gt;"","✓","—")</x:f>
        <x:v>✓</x:v>
      </x:c>
    </x:row>
    <x:row r="129" s="160" customFormat="1" ht="17.399999618530273" customHeight="1">
      <x:c r="A129" s="153" t="inlineStr">
        <x:is>
          <x:t xml:space="preserve">CEILING</x:t>
        </x:is>
      </x:c>
      <x:c r="B129" s="151" t="str">
        <x:v>Acoustical Tile and Drywall</x:v>
      </x:c>
      <x:c r="C129" s="183" t="inlineStr">
        <x:is>
          <x:t xml:space="preserve">e.g. Drop Tile / Exposed / Drywall</x:t>
        </x:is>
      </x:c>
      <x:c r="D129" s="154" t="str">
        <x:f>IF(B129&lt;&gt;"","✓","—")</x:f>
        <x:v>✓</x:v>
      </x:c>
    </x:row>
    <x:row r="130" s="160" customFormat="1" ht="17.399999618530273" customHeight="1">
      <x:c r="A130" s="150" t="inlineStr">
        <x:is>
          <x:t xml:space="preserve">FLOORS</x:t>
        </x:is>
      </x:c>
      <x:c r="B130" s="151" t="str">
        <x:v>Carpet, Tile, Composite, LVP</x:v>
      </x:c>
      <x:c r="C130" s="183" t="inlineStr">
        <x:is>
          <x:t xml:space="preserve">e.g. Carpet / VCT / Hardwood</x:t>
        </x:is>
      </x:c>
      <x:c r="D130" s="152" t="str">
        <x:f>IF(B130&lt;&gt;"","✓","—")</x:f>
        <x:v>✓</x:v>
      </x:c>
    </x:row>
    <x:row r="131" s="160" customFormat="1" ht="17.399999618530273" customHeight="1">
      <x:c r="A131" s="153" t="inlineStr">
        <x:is>
          <x:t xml:space="preserve">LIGHTING</x:t>
        </x:is>
      </x:c>
      <x:c r="B131" s="151" t="str">
        <x:v>Fluorescent and LED</x:v>
      </x:c>
      <x:c r="C131" s="183" t="inlineStr">
        <x:is>
          <x:t xml:space="preserve">e.g. Fluorescent / LED</x:t>
        </x:is>
      </x:c>
      <x:c r="D131" s="154" t="str">
        <x:f>IF(B131&lt;&gt;"","✓","—")</x:f>
        <x:v>✓</x:v>
      </x:c>
    </x:row>
    <x:row r="132" s="160" customFormat="1" ht="17.399999618530273" customHeight="1">
      <x:c r="A132" s="150" t="inlineStr">
        <x:is>
          <x:t xml:space="preserve">WINDOWS</x:t>
        </x:is>
      </x:c>
      <x:c r="B132" s="151" t="str">
        <x:v>Metal and Storefront Glass</x:v>
      </x:c>
      <x:c r="C132" s="183" t="inlineStr">
        <x:is>
          <x:t xml:space="preserve">e.g. Single-pane / Double-pane / Tinted</x:t>
        </x:is>
      </x:c>
      <x:c r="D132" s="152" t="str">
        <x:f>IF(B132&lt;&gt;"","✓","—")</x:f>
        <x:v>✓</x:v>
      </x:c>
    </x:row>
    <x:row r="133" s="160" customFormat="1" ht="17.399999618530273" customHeight="1">
      <x:c r="A133" s="153" t="inlineStr">
        <x:is>
          <x:t xml:space="preserve">DOORS</x:t>
        </x:is>
      </x:c>
      <x:c r="B133" s="151" t="str">
        <x:v>Wood, Metal, and Storefront Glass</x:v>
      </x:c>
      <x:c r="C133" s="183" t="inlineStr">
        <x:is>
          <x:t xml:space="preserve">e.g. Hollow Core / Solid Core / Glass</x:t>
        </x:is>
      </x:c>
      <x:c r="D133" s="154" t="str">
        <x:f>IF(B133&lt;&gt;"","✓","—")</x:f>
        <x:v>✓</x:v>
      </x:c>
    </x:row>
    <x:row r="134" s="160" customFormat="1" ht="17.399999618530273" customHeight="1">
      <x:c r="A134" s="150" t="inlineStr">
        <x:is>
          <x:t xml:space="preserve">ELEVATOR</x:t>
        </x:is>
      </x:c>
      <x:c r="B134" s="151" t="str">
        <x:v>No Elevator Service</x:v>
      </x:c>
      <x:c r="C134" s="183" t="inlineStr">
        <x:is>
          <x:t xml:space="preserve">e.g. Present / None</x:t>
        </x:is>
      </x:c>
      <x:c r="D134" s="152" t="str">
        <x:f>IF(B134&lt;&gt;"","✓","—")</x:f>
        <x:v>✓</x:v>
      </x:c>
    </x:row>
    <x:row r="135" s="160" customFormat="1" ht="17.399999618530273" customHeight="1">
      <x:c r="A135" s="153" t="inlineStr">
        <x:is>
          <x:t xml:space="preserve">COMMON_AREA</x:t>
        </x:is>
      </x:c>
      <x:c r="B135" s="151" t="str">
        <x:v>2,285</x:v>
      </x:c>
      <x:c r="C135" s="183" t="inlineStr">
        <x:is>
          <x:t xml:space="preserve">e.g. Lobby, Restrooms, Hallways</x:t>
        </x:is>
      </x:c>
      <x:c r="D135" s="154" t="str">
        <x:f>IF(B135&lt;&gt;"","✓","—")</x:f>
        <x:v>✓</x:v>
      </x:c>
    </x:row>
    <x:row r="136" s="160" customFormat="1" ht="16.799999237060547" customHeight="1">
      <x:c r="A136" s="150" t="inlineStr">
        <x:is>
          <x:t xml:space="preserve">FFE</x:t>
        </x:is>
      </x:c>
      <x:c r="B136" s="151" t="str">
        <x:v>None Considered</x:v>
      </x:c>
      <x:c r="C136" s="183" t="inlineStr">
        <x:is>
          <x:t xml:space="preserve">Furniture/Fixtures/Equipment included? Yes/No</x:t>
        </x:is>
      </x:c>
      <x:c r="D136" s="152" t="str">
        <x:f>IF(B136&lt;&gt;"","✓","—")</x:f>
        <x:v>✓</x:v>
      </x:c>
    </x:row>
    <x:row r="137" s="160" customFormat="1" ht="17.399999618530273" customHeight="1">
      <x:c r="A137" s="153" t="inlineStr">
        <x:is>
          <x:t xml:space="preserve">DEFERRED_MAINTENANCE</x:t>
        </x:is>
      </x:c>
      <x:c r="B137" s="151" t="str">
        <x:v>See Photographs</x:v>
      </x:c>
      <x:c r="C137" s="183" t="inlineStr">
        <x:is>
          <x:t xml:space="preserve">Brief description or None</x:t>
        </x:is>
      </x:c>
      <x:c r="D137" s="154" t="str">
        <x:f>IF(B137&lt;&gt;"","✓","—")</x:f>
        <x:v>✓</x:v>
      </x:c>
    </x:row>
    <x:row r="138" s="160" customFormat="1" ht="17.399999618530273" customHeight="1">
      <x:c r="A138" s="150" t="inlineStr">
        <x:is>
          <x:t xml:space="preserve">SUBJECT_CONDITION</x:t>
        </x:is>
      </x:c>
      <x:c r="B138" s="151" t="str">
        <x:v>Average</x:v>
      </x:c>
      <x:c r="C138" s="183" t="inlineStr">
        <x:is>
          <x:t xml:space="preserve">e.g. Good / Average / Fair / Poor</x:t>
        </x:is>
      </x:c>
      <x:c r="D138" s="152" t="str">
        <x:f>IF(B138&lt;&gt;"","✓","—")</x:f>
        <x:v>✓</x:v>
      </x:c>
    </x:row>
    <x:row r="139" s="160" customFormat="1" ht="18" customHeight="1">
      <x:c r="A139" s="199" t="inlineStr">
        <x:is>
          <x:t xml:space="preserve">SITE DESCRIPTION</x:t>
        </x:is>
      </x:c>
      <x:c r="B139" s="162" t="n"/>
      <x:c r="C139" s="162" t="n"/>
      <x:c r="D139" s="163" t="n"/>
    </x:row>
    <x:row r="140" s="160" customFormat="1" ht="17.399999618530273" customHeight="1">
      <x:c r="A140" s="150" t="inlineStr">
        <x:is>
          <x:t xml:space="preserve">SITE_SHAPE</x:t>
        </x:is>
      </x:c>
      <x:c r="B140" s="151" t="str">
        <x:v>Irregular</x:v>
      </x:c>
      <x:c r="C140" s="183" t="inlineStr">
        <x:is>
          <x:t xml:space="preserve">e.g. Rectangular / Irregular</x:t>
        </x:is>
      </x:c>
      <x:c r="D140" s="152" t="str">
        <x:f>IF(B140&lt;&gt;"","✓","—")</x:f>
        <x:v>✓</x:v>
      </x:c>
    </x:row>
    <x:row r="141" s="160" customFormat="1" ht="17.399999618530273" customHeight="1">
      <x:c r="A141" s="153" t="inlineStr">
        <x:is>
          <x:t xml:space="preserve">TOPOGRAPHY</x:t>
        </x:is>
      </x:c>
      <x:c r="B141" s="151" t="str">
        <x:v>Level-to-Sloping</x:v>
      </x:c>
      <x:c r="C141" s="183" t="inlineStr">
        <x:is>
          <x:t xml:space="preserve">e.g. Level / Gently Rolling / Sloping</x:t>
        </x:is>
      </x:c>
      <x:c r="D141" s="154" t="str">
        <x:f>IF(B141&lt;&gt;"","✓","—")</x:f>
        <x:v>✓</x:v>
      </x:c>
    </x:row>
    <x:row r="142" s="160" customFormat="1" ht="17.399999618530273" customHeight="1">
      <x:c r="A142" s="150" t="inlineStr">
        <x:is>
          <x:t xml:space="preserve">FRONTAGE_STREET</x:t>
        </x:is>
      </x:c>
      <x:c r="B142" s="151" t="str">
        <x:v>Example Commerce Way</x:v>
      </x:c>
      <x:c r="C142" s="183" t="str">
        <x:v>e.g. Example Commerce Way (100 LF)</x:v>
      </x:c>
      <x:c r="D142" s="152" t="str">
        <x:f>IF(B142&lt;&gt;"","✓","—")</x:f>
        <x:v>✓</x:v>
      </x:c>
    </x:row>
    <x:row r="143" s="160" customFormat="1" ht="17.399999618530273" customHeight="1">
      <x:c r="A143" s="153" t="inlineStr">
        <x:is>
          <x:t xml:space="preserve">ADJACENT_USES</x:t>
        </x:is>
      </x:c>
      <x:c r="B143" s="151" t="str">
        <x:v>Office and Retail-Service</x:v>
      </x:c>
      <x:c r="C143" s="183" t="inlineStr">
        <x:is>
          <x:t xml:space="preserve">e.g. Office, Retail, Residential</x:t>
        </x:is>
      </x:c>
      <x:c r="D143" s="154" t="str">
        <x:f>IF(B143&lt;&gt;"","✓","—")</x:f>
        <x:v>✓</x:v>
      </x:c>
    </x:row>
    <x:row r="144" s="160" customFormat="1" ht="17.399999618530273" customHeight="1">
      <x:c r="A144" s="150" t="inlineStr">
        <x:is>
          <x:t xml:space="preserve">PERMITTED_USES</x:t>
        </x:is>
      </x:c>
      <x:c r="B144" s="151" t="str">
        <x:v>Office, Retail-Service, and Light Industrial</x:v>
      </x:c>
      <x:c r="C144" s="183" t="inlineStr">
        <x:is>
          <x:t xml:space="preserve">e.g. Office, Retail, Light Industrial</x:t>
        </x:is>
      </x:c>
      <x:c r="D144" s="152" t="str">
        <x:f>IF(B144&lt;&gt;"","✓","—")</x:f>
        <x:v>✓</x:v>
      </x:c>
    </x:row>
    <x:row r="145" s="160" customFormat="1" ht="17.399999618530273" customHeight="1">
      <x:c r="A145" s="153" t="inlineStr">
        <x:is>
          <x:t xml:space="preserve">ZONING_COMPLIANCE</x:t>
        </x:is>
      </x:c>
      <x:c r="B145" s="151" t="str">
        <x:v>Legal and Conforming</x:v>
      </x:c>
      <x:c r="C145" s="183" t="inlineStr">
        <x:is>
          <x:t xml:space="preserve">e.g. Legal Conforming / Legal Non-Conforming</x:t>
        </x:is>
      </x:c>
      <x:c r="D145" s="154" t="str">
        <x:f>IF(B145&lt;&gt;"","✓","—")</x:f>
        <x:v>✓</x:v>
      </x:c>
    </x:row>
    <x:row r="146" s="160" customFormat="1" ht="17.399999618530273" customHeight="1">
      <x:c r="A146" s="150" t="inlineStr">
        <x:is>
          <x:t xml:space="preserve">PARKING_TYPE</x:t>
        </x:is>
      </x:c>
      <x:c r="B146" s="151" t="str">
        <x:v>Surface Parking (On-Site)</x:v>
      </x:c>
      <x:c r="C146" s="183" t="inlineStr">
        <x:is>
          <x:t xml:space="preserve">e.g. Surface Lot / Structured / Street</x:t>
        </x:is>
      </x:c>
      <x:c r="D146" s="152" t="str">
        <x:f>IF(B146&lt;&gt;"","✓","—")</x:f>
        <x:v>✓</x:v>
      </x:c>
    </x:row>
    <x:row r="147" s="160" customFormat="1" ht="17.399999618530273" customHeight="1">
      <x:c r="A147" s="153" t="inlineStr">
        <x:is>
          <x:t xml:space="preserve">FLOOD_ZONE</x:t>
        </x:is>
      </x:c>
      <x:c r="B147" s="151" t="str">
        <x:v>Zone X</x:v>
      </x:c>
      <x:c r="C147" s="183" t="inlineStr">
        <x:is>
          <x:t xml:space="preserve">e.g. Zone X (No) / Zone AE (Yes)</x:t>
        </x:is>
      </x:c>
      <x:c r="D147" s="154" t="str">
        <x:f>IF(B147&lt;&gt;"","✓","—")</x:f>
        <x:v>✓</x:v>
      </x:c>
    </x:row>
    <x:row r="148" s="160" customFormat="1" ht="17.399999618530273" customHeight="1">
      <x:c r="A148" s="150" t="inlineStr">
        <x:is>
          <x:t xml:space="preserve">FEMA_PANEL</x:t>
        </x:is>
      </x:c>
      <x:c r="B148" s="151" t="str">
        <x:v>00000C0001A - 01/01/2025</x:v>
      </x:c>
      <x:c r="C148" s="183" t="inlineStr">
        <x:is>
          <x:t xml:space="preserve">e.g. 01073C0159E</x:t>
        </x:is>
      </x:c>
      <x:c r="D148" s="152" t="str">
        <x:f>IF(B148&lt;&gt;"","✓","—")</x:f>
        <x:v>✓</x:v>
      </x:c>
    </x:row>
    <x:row r="149" s="160" customFormat="1" ht="17.399999618530273" customHeight="1">
      <x:c r="A149" s="153" t="inlineStr">
        <x:is>
          <x:t xml:space="preserve">SUBJECT_ACCESS</x:t>
        </x:is>
      </x:c>
      <x:c r="B149" s="151" t="str">
        <x:v>Average</x:v>
      </x:c>
      <x:c r="C149" s="183" t="inlineStr">
        <x:is>
          <x:t xml:space="preserve">e.g. Good / Average / Inferior</x:t>
        </x:is>
      </x:c>
      <x:c r="D149" s="154" t="str">
        <x:f>IF(B149&lt;&gt;"","✓","—")</x:f>
        <x:v>✓</x:v>
      </x:c>
    </x:row>
    <x:row r="150" s="160" customFormat="1" ht="17.399999618530273" customHeight="1">
      <x:c r="A150" s="150" t="inlineStr">
        <x:is>
          <x:t xml:space="preserve">SUBJECT_VISIBILITY</x:t>
        </x:is>
      </x:c>
      <x:c r="B150" s="151" t="str">
        <x:v>Average</x:v>
      </x:c>
      <x:c r="C150" s="183" t="inlineStr">
        <x:is>
          <x:t xml:space="preserve">e.g. Good / Average / Inferior</x:t>
        </x:is>
      </x:c>
      <x:c r="D150" s="152" t="str">
        <x:f>IF(B150&lt;&gt;"","✓","—")</x:f>
        <x:v>✓</x:v>
      </x:c>
    </x:row>
    <x:row r="151" s="160" customFormat="1" ht="17.399999618530273" customHeight="1">
      <x:c r="A151" s="153" t="inlineStr">
        <x:is>
          <x:t xml:space="preserve">SUBJECT_INGRESS_EGRESS</x:t>
        </x:is>
      </x:c>
      <x:c r="B151" s="151" t="str">
        <x:v>Average</x:v>
      </x:c>
      <x:c r="C151" s="183" t="str">
        <x:v>e.g. Two-way access off Example Commerce Way</x:v>
      </x:c>
      <x:c r="D151" s="154" t="str">
        <x:f>IF(B151&lt;&gt;"","✓","—")</x:f>
        <x:v>✓</x:v>
      </x:c>
    </x:row>
    <x:row r="152" s="160" customFormat="1" ht="17.399999618530273" customHeight="1">
      <x:c r="A152" s="150" t="inlineStr">
        <x:is>
          <x:t xml:space="preserve">SUBJECT_CURB</x:t>
        </x:is>
      </x:c>
      <x:c r="B152" s="151" t="str">
        <x:v>Present</x:v>
      </x:c>
      <x:c r="C152" s="183" t="inlineStr">
        <x:is>
          <x:t xml:space="preserve">e.g. Present / None</x:t>
        </x:is>
      </x:c>
      <x:c r="D152" s="152" t="str">
        <x:f>IF(B152&lt;&gt;"","✓","—")</x:f>
        <x:v>✓</x:v>
      </x:c>
    </x:row>
    <x:row r="153" s="160" customFormat="1" ht="17.399999618530273" customHeight="1">
      <x:c r="A153" s="153" t="inlineStr">
        <x:is>
          <x:t xml:space="preserve">SUBJECT_SIDEWALK</x:t>
        </x:is>
      </x:c>
      <x:c r="B153" s="151" t="str">
        <x:v>Present</x:v>
      </x:c>
      <x:c r="C153" s="183" t="inlineStr">
        <x:is>
          <x:t xml:space="preserve">e.g. Present / None</x:t>
        </x:is>
      </x:c>
      <x:c r="D153" s="154" t="str">
        <x:f>IF(B153&lt;&gt;"","✓","—")</x:f>
        <x:v>✓</x:v>
      </x:c>
    </x:row>
    <x:row r="154" s="160" customFormat="1" ht="17.399999618530273" customHeight="1">
      <x:c r="A154" s="150" t="inlineStr">
        <x:is>
          <x:t xml:space="preserve">SUBJECT_STREETLIGHT</x:t>
        </x:is>
      </x:c>
      <x:c r="B154" s="151" t="str">
        <x:v>Present</x:v>
      </x:c>
      <x:c r="C154" s="183" t="inlineStr">
        <x:is>
          <x:t xml:space="preserve">e.g. Present / None</x:t>
        </x:is>
      </x:c>
      <x:c r="D154" s="152" t="str">
        <x:f>IF(B154&lt;&gt;"","✓","—")</x:f>
        <x:v>✓</x:v>
      </x:c>
    </x:row>
    <x:row r="155" s="160" customFormat="1" ht="6" customHeight="1"/>
  </x:sheetData>
  <x:mergeCells>
    <x:mergeCell ref="A94:D94"/>
    <x:mergeCell ref="A1:D1"/>
    <x:mergeCell ref="A110:D110"/>
    <x:mergeCell ref="A79:D79"/>
    <x:mergeCell ref="A5:D5"/>
    <x:mergeCell ref="A61:D61"/>
    <x:mergeCell ref="A42:D42"/>
    <x:mergeCell ref="A53:D53"/>
    <x:mergeCell ref="A12:D12"/>
    <x:mergeCell ref="A4:D4"/>
    <x:mergeCell ref="A139:D139"/>
    <x:mergeCell ref="A3:D3"/>
    <x:mergeCell ref="A86:D86"/>
    <x:mergeCell ref="A29:D29"/>
    <x:mergeCell ref="A19:D19"/>
    <x:mergeCell ref="A121:D121"/>
    <x:mergeCell ref="A99:D99"/>
    <x:mergeCell ref="A28:D28"/>
  </x:mergeCells>
  <x:dataValidations count="1">
    <x:dataValidation type="list" allowBlank="1" showDropDown="0" showInputMessage="0" showErrorMessage="0" sqref="B42:B44">
      <x:formula1>"Yes,No"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ColWidth="8.6640625" defaultRowHeight="13.199999809265137"/>
  <x:cols>
    <x:col min="1" max="1" width="2" style="160" customWidth="1"/>
    <x:col min="2" max="2" width="9" style="160" customWidth="1"/>
    <x:col min="3" max="3" width="12.5546875" style="160" customWidth="1"/>
    <x:col min="4" max="4" width="16" style="160" customWidth="1"/>
    <x:col min="5" max="5" width="13" style="160" customWidth="1"/>
    <x:col min="6" max="6" width="12" style="160" customWidth="1"/>
    <x:col min="7" max="9" width="10" style="160" customWidth="1"/>
    <x:col min="10" max="10" width="11" style="160" customWidth="1"/>
    <x:col min="11" max="11" width="10" style="160" customWidth="1"/>
    <x:col min="12" max="12" width="13" style="160" customWidth="1"/>
  </x:cols>
  <x:sheetData>
    <x:row r="2" s="160" customFormat="1" ht="19.5" customHeight="1">
      <x:c r="B2" s="202" t="inlineStr">
        <x:is>
          <x:t xml:space="preserve">SUBJECT PROPERTY REFERENCE</x:t>
        </x:is>
      </x:c>
    </x:row>
    <x:row r="3" s="160" customFormat="1" ht="28.049999237060547" customHeight="1">
      <x:c r="B3" s="193" t="inlineStr">
        <x:is>
          <x:t xml:space="preserve">Address</x:t>
        </x:is>
      </x:c>
      <x:c r="C3" s="193" t="inlineStr">
        <x:is>
          <x:t xml:space="preserve">City</x:t>
        </x:is>
      </x:c>
      <x:c r="D3" s="193" t="inlineStr">
        <x:is>
          <x:t xml:space="preserve">GBA (SF)</x:t>
        </x:is>
      </x:c>
      <x:c r="E3" s="193" t="inlineStr">
        <x:is>
          <x:t xml:space="preserve">Year Built</x:t>
        </x:is>
      </x:c>
      <x:c r="F3" s="193" t="inlineStr">
        <x:is>
          <x:t xml:space="preserve">Property Type</x:t>
        </x:is>
      </x:c>
      <x:c r="G3" s="193" t="inlineStr">
        <x:is>
          <x:t xml:space="preserve">Zoning</x:t>
        </x:is>
      </x:c>
      <x:c r="H3" s="193" t="inlineStr">
        <x:is>
          <x:t xml:space="preserve">Class</x:t>
        </x:is>
      </x:c>
      <x:c r="I3" s="194" t="inlineStr">
        <x:is>
          <x:t xml:space="preserve">Median HH Income</x:t>
        </x:is>
      </x:c>
      <x:c r="J3" s="194" t="inlineStr">
        <x:is>
          <x:t xml:space="preserve">Population</x:t>
        </x:is>
      </x:c>
      <x:c r="K3" s="194" t="inlineStr">
        <x:is>
          <x:t xml:space="preserve">Flood Zone</x:t>
        </x:is>
      </x:c>
      <x:c r="L3" s="194" t="inlineStr">
        <x:is>
          <x:t xml:space="preserve">LTB Ratio</x:t>
        </x:is>
      </x:c>
    </x:row>
    <x:row r="4" s="160" customFormat="1" ht="15" customHeight="1">
      <x:c r="B4" s="155" t="str">
        <x:f>Intake!B20</x:f>
        <x:v>100 Example Commerce Way</x:v>
      </x:c>
      <x:c r="C4" s="155" t="str">
        <x:f>Intake!B21</x:f>
        <x:v>Sample City</x:v>
      </x:c>
      <x:c r="D4" s="156" t="str">
        <x:f>Intake!B32</x:f>
        <x:v>22,668</x:v>
      </x:c>
      <x:c r="E4" s="157" t="str">
        <x:f>Intake!B30</x:f>
        <x:v>1980</x:v>
      </x:c>
      <x:c r="F4" s="155" t="str">
        <x:f>Intake!B26</x:f>
        <x:v>Multi-Tenant Office</x:v>
      </x:c>
      <x:c r="G4" s="155" t="n">
        <x:f>Intake!B40</x:f>
        <x:v>0</x:v>
      </x:c>
      <x:c r="H4" s="155" t="str">
        <x:f>Intake!B112</x:f>
        <x:v>Class B</x:v>
      </x:c>
      <x:c r="I4" s="138" t="n"/>
      <x:c r="J4" s="138" t="n"/>
      <x:c r="K4" s="158" t="str">
        <x:f>Intake!B147</x:f>
        <x:v>Zone X</x:v>
      </x:c>
      <x:c r="L4" s="138" t="n"/>
      <x:c r="M4" s="38" t="n"/>
      <x:c r="N4" s="38" t="n"/>
      <x:c r="O4" s="38" t="n"/>
      <x:c r="P4" s="38" t="n"/>
      <x:c r="Q4" s="38" t="n"/>
    </x:row>
    <x:row r="5" s="160" customFormat="1" ht="6" customHeight="1"/>
    <x:row r="6" s="160" customFormat="1" ht="6" customHeight="1"/>
    <x:row r="7" s="160" customFormat="1" ht="19.5" customHeight="1">
      <x:c r="B7" s="203" t="inlineStr">
        <x:is>
          <x:t xml:space="preserve">COMPARABLE SALES DATA</x:t>
        </x:is>
      </x:c>
    </x:row>
    <x:row r="8" s="160" customFormat="1" ht="30" customHeight="1">
      <x:c r="B8" s="3" t="inlineStr">
        <x:is>
          <x:t xml:space="preserve">Sale No.</x:t>
        </x:is>
      </x:c>
      <x:c r="C8" s="3" t="inlineStr">
        <x:is>
          <x:t xml:space="preserve">Sale Date</x:t>
        </x:is>
      </x:c>
      <x:c r="D8" s="3" t="inlineStr">
        <x:is>
          <x:t xml:space="preserve">Location</x:t>
        </x:is>
      </x:c>
      <x:c r="E8" s="3" t="inlineStr">
        <x:is>
          <x:t xml:space="preserve">Sale Price</x:t>
        </x:is>
      </x:c>
      <x:c r="F8" s="3" t="inlineStr">
        <x:is>
          <x:t xml:space="preserve">GBA (SF)</x:t>
        </x:is>
      </x:c>
      <x:c r="G8" s="3" t="inlineStr">
        <x:is>
          <x:t xml:space="preserve">$/SF</x:t>
        </x:is>
      </x:c>
      <x:c r="H8" s="3" t="inlineStr">
        <x:is>
          <x:t xml:space="preserve">Overall Rate</x:t>
        </x:is>
      </x:c>
      <x:c r="I8" s="3" t="inlineStr">
        <x:is>
          <x:t xml:space="preserve">NOI $/SF</x:t>
        </x:is>
      </x:c>
      <x:c r="J8" s="3" t="inlineStr">
        <x:is>
          <x:t xml:space="preserve">Flood Zone</x:t>
        </x:is>
      </x:c>
      <x:c r="K8" s="3" t="inlineStr">
        <x:is>
          <x:t xml:space="preserve">LTB Ratio</x:t>
        </x:is>
      </x:c>
      <x:c r="L8" s="3" t="inlineStr">
        <x:is>
          <x:t xml:space="preserve">Year Built</x:t>
        </x:is>
      </x:c>
    </x:row>
    <x:row r="9" s="160" customFormat="1" ht="15" customHeight="1">
      <x:c r="B9" s="38" t="n">
        <x:v>1</x:v>
      </x:c>
      <x:c r="C9" s="123" t="n"/>
      <x:c r="D9" s="38" t="n"/>
      <x:c r="E9" s="124" t="n"/>
      <x:c r="F9" s="121" t="n"/>
      <x:c r="G9" s="125" t="e">
        <x:f>E9/F9</x:f>
        <x:v>#DIV/0!</x:v>
      </x:c>
      <x:c r="H9" s="126" t="n"/>
      <x:c r="I9" s="125" t="n"/>
      <x:c r="J9" s="122" t="n"/>
      <x:c r="K9" s="127" t="n"/>
      <x:c r="L9" s="122" t="n"/>
      <x:c r="M9" s="139" t="n"/>
      <x:c r="N9" s="139" t="n"/>
      <x:c r="O9" s="139" t="n"/>
      <x:c r="P9" s="139" t="n"/>
      <x:c r="Q9" s="139" t="n"/>
    </x:row>
    <x:row r="10" s="160" customFormat="1" ht="15" customHeight="1">
      <x:c r="B10" s="42" t="n">
        <x:v>2</x:v>
      </x:c>
      <x:c r="C10" s="128" t="n"/>
      <x:c r="D10" s="42" t="n"/>
      <x:c r="E10" s="129" t="n"/>
      <x:c r="F10" s="130" t="n"/>
      <x:c r="G10" s="131" t="e">
        <x:f>E10/F10</x:f>
        <x:v>#DIV/0!</x:v>
      </x:c>
      <x:c r="H10" s="132" t="n"/>
      <x:c r="I10" s="131" t="n"/>
      <x:c r="J10" s="133" t="n"/>
      <x:c r="K10" s="134" t="n"/>
      <x:c r="L10" s="133" t="n"/>
      <x:c r="M10" s="139" t="n"/>
      <x:c r="N10" s="139" t="n"/>
      <x:c r="O10" s="139" t="n"/>
      <x:c r="P10" s="139" t="n"/>
      <x:c r="Q10" s="139" t="n"/>
    </x:row>
    <x:row r="11" s="160" customFormat="1" ht="15" customHeight="1">
      <x:c r="B11" s="38" t="n">
        <x:v>3</x:v>
      </x:c>
      <x:c r="C11" s="123" t="n"/>
      <x:c r="D11" s="38" t="n"/>
      <x:c r="E11" s="124" t="n"/>
      <x:c r="F11" s="121" t="n"/>
      <x:c r="G11" s="125" t="e">
        <x:f>E11/F11</x:f>
        <x:v>#DIV/0!</x:v>
      </x:c>
      <x:c r="H11" s="135" t="n"/>
      <x:c r="I11" s="135" t="n"/>
      <x:c r="J11" s="122" t="n"/>
      <x:c r="K11" s="127" t="n"/>
      <x:c r="L11" s="122" t="n"/>
      <x:c r="M11" s="139" t="n"/>
      <x:c r="N11" s="139" t="n"/>
      <x:c r="O11" s="139" t="n"/>
      <x:c r="P11" s="139" t="n"/>
      <x:c r="Q11" s="139" t="n"/>
    </x:row>
    <x:row r="12" s="160" customFormat="1" ht="15" customHeight="1">
      <x:c r="B12" s="42" t="n">
        <x:v>4</x:v>
      </x:c>
      <x:c r="C12" s="128" t="n"/>
      <x:c r="D12" s="42" t="n"/>
      <x:c r="E12" s="129" t="n"/>
      <x:c r="F12" s="130" t="n"/>
      <x:c r="G12" s="131" t="e">
        <x:f>E12/F12</x:f>
        <x:v>#DIV/0!</x:v>
      </x:c>
      <x:c r="H12" s="132" t="n"/>
      <x:c r="I12" s="131" t="n"/>
      <x:c r="J12" s="133" t="n"/>
      <x:c r="K12" s="134" t="n"/>
      <x:c r="L12" s="133" t="n"/>
      <x:c r="M12" s="139" t="n"/>
      <x:c r="N12" s="139" t="n"/>
      <x:c r="O12" s="139" t="n"/>
      <x:c r="P12" s="139" t="n"/>
      <x:c r="Q12" s="139" t="n"/>
    </x:row>
    <x:row r="13" s="160" customFormat="1" ht="15" customHeight="1">
      <x:c r="B13" s="38" t="n">
        <x:v>5</x:v>
      </x:c>
      <x:c r="C13" s="123" t="n"/>
      <x:c r="D13" s="38" t="n"/>
      <x:c r="E13" s="124" t="n"/>
      <x:c r="F13" s="121" t="n"/>
      <x:c r="G13" s="125" t="e">
        <x:f>E13/F13</x:f>
        <x:v>#DIV/0!</x:v>
      </x:c>
      <x:c r="H13" s="126" t="n"/>
      <x:c r="I13" s="125" t="n"/>
      <x:c r="J13" s="122" t="n"/>
      <x:c r="K13" s="127" t="n"/>
      <x:c r="L13" s="122" t="n"/>
      <x:c r="M13" s="139" t="n"/>
      <x:c r="N13" s="139" t="n"/>
      <x:c r="O13" s="139" t="n"/>
      <x:c r="P13" s="139" t="n"/>
      <x:c r="Q13" s="139" t="n"/>
    </x:row>
    <x:row r="14" s="160" customFormat="1" ht="15" customHeight="1">
      <x:c r="B14" s="42" t="n">
        <x:v>6</x:v>
      </x:c>
      <x:c r="C14" s="128" t="n"/>
      <x:c r="D14" s="42" t="n"/>
      <x:c r="E14" s="129" t="n"/>
      <x:c r="F14" s="130" t="n"/>
      <x:c r="G14" s="131" t="e">
        <x:f>E14/F14</x:f>
        <x:v>#DIV/0!</x:v>
      </x:c>
      <x:c r="H14" s="136" t="n"/>
      <x:c r="I14" s="136" t="n"/>
      <x:c r="J14" s="133" t="n"/>
      <x:c r="K14" s="134" t="n"/>
      <x:c r="L14" s="133" t="n"/>
      <x:c r="M14" s="139" t="n"/>
      <x:c r="N14" s="139" t="n"/>
      <x:c r="O14" s="139" t="n"/>
      <x:c r="P14" s="139" t="n"/>
      <x:c r="Q14" s="139" t="n"/>
    </x:row>
    <x:row r="15" s="160" customFormat="1" ht="15" customHeight="1">
      <x:c r="B15" s="38" t="n">
        <x:v>7</x:v>
      </x:c>
      <x:c r="C15" s="123" t="n"/>
      <x:c r="D15" s="38" t="n"/>
      <x:c r="E15" s="124" t="n"/>
      <x:c r="F15" s="121" t="n"/>
      <x:c r="G15" s="125" t="e">
        <x:f>E15/F15</x:f>
        <x:v>#DIV/0!</x:v>
      </x:c>
      <x:c r="H15" s="135" t="n"/>
      <x:c r="I15" s="135" t="n"/>
      <x:c r="J15" s="122" t="n"/>
      <x:c r="K15" s="127" t="n"/>
      <x:c r="L15" s="122" t="n"/>
      <x:c r="M15" s="139" t="n"/>
      <x:c r="N15" s="139" t="n"/>
      <x:c r="O15" s="139" t="n"/>
      <x:c r="P15" s="139" t="n"/>
      <x:c r="Q15" s="139" t="n"/>
    </x:row>
    <x:row r="16" s="160" customFormat="1" ht="6" customHeight="1"/>
    <x:row r="17" s="160" customFormat="1" ht="6" customHeight="1"/>
    <x:row r="18" s="160" customFormat="1" ht="19.5" customHeight="1">
      <x:c r="B18" s="203" t="inlineStr">
        <x:is>
          <x:t xml:space="preserve">ADJUSTMENT GRID</x:t>
        </x:is>
      </x:c>
    </x:row>
    <x:row r="19" s="160" customFormat="1" ht="30" customHeight="1">
      <x:c r="B19" s="3" t="inlineStr">
        <x:is>
          <x:t xml:space="preserve">Sale No.</x:t>
        </x:is>
      </x:c>
      <x:c r="C19" s="3" t="inlineStr">
        <x:is>
          <x:t xml:space="preserve">Unadj. $/SF</x:t>
        </x:is>
      </x:c>
      <x:c r="D19" s="3" t="inlineStr">
        <x:is>
          <x:t xml:space="preserve">Market Adj.</x:t>
        </x:is>
      </x:c>
      <x:c r="E19" s="3" t="inlineStr">
        <x:is>
          <x:t xml:space="preserve">Adj. $/SF</x:t>
        </x:is>
      </x:c>
      <x:c r="F19" s="3" t="inlineStr">
        <x:is>
          <x:t xml:space="preserve">Comp GBA (SF)</x:t>
        </x:is>
      </x:c>
      <x:c r="G19" s="3" t="inlineStr">
        <x:is>
          <x:t xml:space="preserve">Size Adj.</x:t>
        </x:is>
      </x:c>
      <x:c r="H19" s="3" t="inlineStr">
        <x:is>
          <x:t xml:space="preserve">Location Adj.</x:t>
        </x:is>
      </x:c>
      <x:c r="I19" s="3" t="inlineStr">
        <x:is>
          <x:t xml:space="preserve">Net Adj.</x:t>
        </x:is>
      </x:c>
      <x:c r="J19" s="3" t="inlineStr">
        <x:is>
          <x:t xml:space="preserve">Indicated $/SF</x:t>
        </x:is>
      </x:c>
    </x:row>
    <x:row r="20" s="160" customFormat="1" ht="15" customHeight="1">
      <x:c r="B20" s="38" t="n">
        <x:f>B9</x:f>
        <x:v>1</x:v>
      </x:c>
      <x:c r="C20" s="125" t="e">
        <x:f>G9</x:f>
        <x:v>#DIV/0!</x:v>
      </x:c>
      <x:c r="D20" s="126" t="n">
        <x:v>0</x:v>
      </x:c>
      <x:c r="E20" s="125" t="e">
        <x:f>C20*(1+D20)</x:f>
        <x:v>#DIV/0!</x:v>
      </x:c>
      <x:c r="F20" s="121" t="n">
        <x:f>F9</x:f>
        <x:v>0</x:v>
      </x:c>
      <x:c r="G20" s="126" t="n">
        <x:v>0</x:v>
      </x:c>
      <x:c r="H20" s="126" t="n">
        <x:v>0</x:v>
      </x:c>
      <x:c r="I20" s="126" t="n">
        <x:f>G20+H20</x:f>
        <x:v>0</x:v>
      </x:c>
      <x:c r="J20" s="125" t="e">
        <x:f>ROUND(E20*(1+I20),2)</x:f>
        <x:v>#VALUE!</x:v>
      </x:c>
      <x:c r="K20" s="38" t="n"/>
      <x:c r="L20" s="38" t="n"/>
      <x:c r="M20" s="139" t="n"/>
      <x:c r="N20" s="139" t="n"/>
      <x:c r="O20" s="139" t="n"/>
      <x:c r="P20" s="139" t="n"/>
      <x:c r="Q20" s="139" t="n"/>
    </x:row>
    <x:row r="21" s="160" customFormat="1" ht="15" customHeight="1">
      <x:c r="B21" s="42" t="n">
        <x:f>B10</x:f>
        <x:v>2</x:v>
      </x:c>
      <x:c r="C21" s="131" t="e">
        <x:f>G10</x:f>
        <x:v>#DIV/0!</x:v>
      </x:c>
      <x:c r="D21" s="132" t="n">
        <x:v>0</x:v>
      </x:c>
      <x:c r="E21" s="131" t="e">
        <x:f>C21*(1+D21)</x:f>
        <x:v>#DIV/0!</x:v>
      </x:c>
      <x:c r="F21" s="130" t="n">
        <x:f>F10</x:f>
        <x:v>0</x:v>
      </x:c>
      <x:c r="G21" s="132" t="n">
        <x:v>0</x:v>
      </x:c>
      <x:c r="H21" s="132" t="n">
        <x:v>0</x:v>
      </x:c>
      <x:c r="I21" s="132" t="n">
        <x:f>G21+H21</x:f>
        <x:v>0</x:v>
      </x:c>
      <x:c r="J21" s="131" t="e">
        <x:f>ROUND(E21*(1+I21),2)</x:f>
        <x:v>#VALUE!</x:v>
      </x:c>
      <x:c r="K21" s="139" t="n"/>
      <x:c r="L21" s="139" t="n"/>
      <x:c r="M21" s="139" t="n"/>
      <x:c r="N21" s="139" t="n"/>
      <x:c r="O21" s="139" t="n"/>
      <x:c r="P21" s="139" t="n"/>
      <x:c r="Q21" s="139" t="n"/>
    </x:row>
    <x:row r="22" s="160" customFormat="1" ht="15" customHeight="1">
      <x:c r="B22" s="38" t="n">
        <x:f>B11</x:f>
        <x:v>3</x:v>
      </x:c>
      <x:c r="C22" s="125" t="e">
        <x:f>G11</x:f>
        <x:v>#DIV/0!</x:v>
      </x:c>
      <x:c r="D22" s="126" t="n">
        <x:v>0</x:v>
      </x:c>
      <x:c r="E22" s="125" t="e">
        <x:f>C22*(1+D22)</x:f>
        <x:v>#DIV/0!</x:v>
      </x:c>
      <x:c r="F22" s="121" t="n">
        <x:f>F11</x:f>
        <x:v>0</x:v>
      </x:c>
      <x:c r="G22" s="126" t="n">
        <x:v>0</x:v>
      </x:c>
      <x:c r="H22" s="126" t="n">
        <x:v>0</x:v>
      </x:c>
      <x:c r="I22" s="126" t="n">
        <x:f>G22+H22</x:f>
        <x:v>0</x:v>
      </x:c>
      <x:c r="J22" s="125" t="e">
        <x:f>ROUND(E22*(1+I22),2)</x:f>
        <x:v>#VALUE!</x:v>
      </x:c>
      <x:c r="K22" s="139" t="n"/>
      <x:c r="L22" s="139" t="n"/>
      <x:c r="M22" s="139" t="n"/>
      <x:c r="N22" s="139" t="n"/>
      <x:c r="O22" s="139" t="n"/>
      <x:c r="P22" s="139" t="n"/>
      <x:c r="Q22" s="139" t="n"/>
    </x:row>
    <x:row r="23" s="160" customFormat="1" ht="15" customHeight="1">
      <x:c r="B23" s="42" t="n">
        <x:f>B12</x:f>
        <x:v>4</x:v>
      </x:c>
      <x:c r="C23" s="131" t="e">
        <x:f>G12</x:f>
        <x:v>#DIV/0!</x:v>
      </x:c>
      <x:c r="D23" s="132" t="n">
        <x:v>0</x:v>
      </x:c>
      <x:c r="E23" s="131" t="e">
        <x:f>C23*(1+D23)</x:f>
        <x:v>#DIV/0!</x:v>
      </x:c>
      <x:c r="F23" s="130" t="n">
        <x:f>F12</x:f>
        <x:v>0</x:v>
      </x:c>
      <x:c r="G23" s="132" t="n">
        <x:v>0</x:v>
      </x:c>
      <x:c r="H23" s="132" t="n">
        <x:v>0</x:v>
      </x:c>
      <x:c r="I23" s="132" t="n">
        <x:f>G23+H23</x:f>
        <x:v>0</x:v>
      </x:c>
      <x:c r="J23" s="131" t="e">
        <x:f>ROUND(E23*(1+I23),2)</x:f>
        <x:v>#VALUE!</x:v>
      </x:c>
      <x:c r="K23" s="139" t="n"/>
      <x:c r="L23" s="139" t="n"/>
      <x:c r="M23" s="139" t="n"/>
      <x:c r="N23" s="139" t="n"/>
      <x:c r="O23" s="139" t="n"/>
      <x:c r="P23" s="139" t="n"/>
      <x:c r="Q23" s="139" t="n"/>
    </x:row>
    <x:row r="24" s="160" customFormat="1" ht="15" customHeight="1">
      <x:c r="B24" s="38" t="n">
        <x:f>B13</x:f>
        <x:v>5</x:v>
      </x:c>
      <x:c r="C24" s="125" t="e">
        <x:f>G13</x:f>
        <x:v>#DIV/0!</x:v>
      </x:c>
      <x:c r="D24" s="126" t="n">
        <x:v>0</x:v>
      </x:c>
      <x:c r="E24" s="125" t="e">
        <x:f>C24*(1+D24)</x:f>
        <x:v>#DIV/0!</x:v>
      </x:c>
      <x:c r="F24" s="121" t="n">
        <x:f>F13</x:f>
        <x:v>0</x:v>
      </x:c>
      <x:c r="G24" s="126" t="n">
        <x:v>0</x:v>
      </x:c>
      <x:c r="H24" s="126" t="n">
        <x:v>0</x:v>
      </x:c>
      <x:c r="I24" s="126" t="n">
        <x:f>G24+H24</x:f>
        <x:v>0</x:v>
      </x:c>
      <x:c r="J24" s="125" t="e">
        <x:f>ROUND(E24*(1+I24),2)</x:f>
        <x:v>#VALUE!</x:v>
      </x:c>
      <x:c r="K24" s="139" t="n"/>
      <x:c r="L24" s="139" t="n"/>
      <x:c r="M24" s="139" t="n"/>
      <x:c r="N24" s="139" t="n"/>
      <x:c r="O24" s="139" t="n"/>
      <x:c r="P24" s="139" t="n"/>
      <x:c r="Q24" s="139" t="n"/>
    </x:row>
    <x:row r="25" s="160" customFormat="1" ht="15" customHeight="1">
      <x:c r="B25" s="42" t="n">
        <x:f>B14</x:f>
        <x:v>6</x:v>
      </x:c>
      <x:c r="C25" s="131" t="e">
        <x:f>G14</x:f>
        <x:v>#DIV/0!</x:v>
      </x:c>
      <x:c r="D25" s="132" t="n">
        <x:v>0</x:v>
      </x:c>
      <x:c r="E25" s="131" t="e">
        <x:f>C25*(1+D25)</x:f>
        <x:v>#DIV/0!</x:v>
      </x:c>
      <x:c r="F25" s="130" t="n">
        <x:f>F14</x:f>
        <x:v>0</x:v>
      </x:c>
      <x:c r="G25" s="132" t="n">
        <x:v>0</x:v>
      </x:c>
      <x:c r="H25" s="132" t="n">
        <x:v>0</x:v>
      </x:c>
      <x:c r="I25" s="132" t="n">
        <x:f>G25+H25</x:f>
        <x:v>0</x:v>
      </x:c>
      <x:c r="J25" s="131" t="e">
        <x:f>ROUND(E25*(1+I25),2)</x:f>
        <x:v>#VALUE!</x:v>
      </x:c>
      <x:c r="K25" s="139" t="n"/>
      <x:c r="L25" s="139" t="n"/>
      <x:c r="M25" s="139" t="n"/>
      <x:c r="N25" s="139" t="n"/>
      <x:c r="O25" s="139" t="n"/>
      <x:c r="P25" s="139" t="n"/>
      <x:c r="Q25" s="139" t="n"/>
    </x:row>
    <x:row r="26" s="160" customFormat="1" ht="15" customHeight="1">
      <x:c r="B26" s="38" t="n">
        <x:f>B15</x:f>
        <x:v>7</x:v>
      </x:c>
      <x:c r="C26" s="125" t="e">
        <x:f>G15</x:f>
        <x:v>#DIV/0!</x:v>
      </x:c>
      <x:c r="D26" s="126" t="n">
        <x:v>0</x:v>
      </x:c>
      <x:c r="E26" s="125" t="e">
        <x:f>C26*(1+D26)</x:f>
        <x:v>#DIV/0!</x:v>
      </x:c>
      <x:c r="F26" s="121" t="n">
        <x:f>F15</x:f>
        <x:v>0</x:v>
      </x:c>
      <x:c r="G26" s="126" t="n">
        <x:v>0</x:v>
      </x:c>
      <x:c r="H26" s="126" t="n">
        <x:v>0</x:v>
      </x:c>
      <x:c r="I26" s="126" t="n">
        <x:f>G26+H26</x:f>
        <x:v>0</x:v>
      </x:c>
      <x:c r="J26" s="125" t="e">
        <x:f>ROUND(E26*(1+I26),2)</x:f>
        <x:v>#VALUE!</x:v>
      </x:c>
      <x:c r="K26" s="139" t="n"/>
      <x:c r="L26" s="139" t="n"/>
      <x:c r="M26" s="139" t="n"/>
      <x:c r="N26" s="139" t="n"/>
      <x:c r="O26" s="139" t="n"/>
      <x:c r="P26" s="139" t="n"/>
      <x:c r="Q26" s="139" t="n"/>
    </x:row>
    <x:row r="27" s="160" customFormat="1" ht="6" customHeight="1"/>
    <x:row r="28" s="160" customFormat="1" ht="6" customHeight="1"/>
    <x:row r="29" s="160" customFormat="1" ht="19.5" customHeight="1">
      <x:c r="B29" s="203" t="inlineStr">
        <x:is>
          <x:t xml:space="preserve">DEMOGRAPHICS (5-Mile Radius)</x:t>
        </x:is>
      </x:c>
    </x:row>
    <x:row r="30" s="160" customFormat="1" ht="15" customHeight="1">
      <x:c r="B30" s="2" t="inlineStr">
        <x:is>
          <x:t xml:space="preserve">Sale No.</x:t>
        </x:is>
      </x:c>
      <x:c r="C30" s="2" t="inlineStr">
        <x:is>
          <x:t xml:space="preserve">Median Income</x:t>
        </x:is>
      </x:c>
      <x:c r="D30" s="2" t="inlineStr">
        <x:is>
          <x:t xml:space="preserve">Population</x:t>
        </x:is>
      </x:c>
    </x:row>
    <x:row r="31" s="160" customFormat="1" ht="15" customHeight="1">
      <x:c r="B31" s="38" t="n">
        <x:v>1</x:v>
      </x:c>
      <x:c r="C31" s="124" t="n"/>
      <x:c r="D31" s="121" t="n"/>
      <x:c r="E31" s="38" t="n"/>
      <x:c r="F31" s="38" t="n"/>
      <x:c r="G31" s="38" t="n"/>
      <x:c r="H31" s="38" t="n"/>
      <x:c r="I31" s="38" t="n"/>
      <x:c r="J31" s="139" t="n"/>
      <x:c r="K31" s="139" t="n"/>
      <x:c r="L31" s="139" t="n"/>
      <x:c r="M31" s="139" t="n"/>
      <x:c r="N31" s="139" t="n"/>
      <x:c r="O31" s="139" t="n"/>
      <x:c r="P31" s="139" t="n"/>
    </x:row>
    <x:row r="32" s="160" customFormat="1" ht="15" customHeight="1">
      <x:c r="B32" s="42" t="n">
        <x:v>2</x:v>
      </x:c>
      <x:c r="C32" s="129" t="n"/>
      <x:c r="D32" s="130" t="n"/>
      <x:c r="E32" s="139" t="n"/>
      <x:c r="F32" s="139" t="n"/>
      <x:c r="G32" s="139" t="n"/>
      <x:c r="H32" s="139" t="n"/>
      <x:c r="I32" s="139" t="n"/>
      <x:c r="J32" s="139" t="n"/>
      <x:c r="K32" s="139" t="n"/>
      <x:c r="L32" s="139" t="n"/>
      <x:c r="M32" s="139" t="n"/>
      <x:c r="N32" s="139" t="n"/>
      <x:c r="O32" s="139" t="n"/>
      <x:c r="P32" s="139" t="n"/>
    </x:row>
    <x:row r="33" s="160" customFormat="1" ht="15" customHeight="1">
      <x:c r="B33" s="38" t="n">
        <x:v>3</x:v>
      </x:c>
      <x:c r="C33" s="124" t="n"/>
      <x:c r="D33" s="121" t="n"/>
      <x:c r="E33" s="139" t="n"/>
      <x:c r="F33" s="139" t="n"/>
      <x:c r="G33" s="139" t="n"/>
      <x:c r="H33" s="139" t="n"/>
      <x:c r="I33" s="139" t="n"/>
      <x:c r="J33" s="139" t="n"/>
      <x:c r="K33" s="139" t="n"/>
      <x:c r="L33" s="139" t="n"/>
      <x:c r="M33" s="139" t="n"/>
      <x:c r="N33" s="139" t="n"/>
      <x:c r="O33" s="139" t="n"/>
      <x:c r="P33" s="139" t="n"/>
    </x:row>
    <x:row r="34" s="160" customFormat="1" ht="15" customHeight="1">
      <x:c r="B34" s="42" t="n">
        <x:v>4</x:v>
      </x:c>
      <x:c r="C34" s="129" t="n"/>
      <x:c r="D34" s="130" t="n"/>
      <x:c r="E34" s="139" t="n"/>
      <x:c r="F34" s="139" t="n"/>
      <x:c r="G34" s="139" t="n"/>
      <x:c r="H34" s="139" t="n"/>
      <x:c r="I34" s="139" t="n"/>
      <x:c r="J34" s="139" t="n"/>
      <x:c r="K34" s="139" t="n"/>
      <x:c r="L34" s="139" t="n"/>
      <x:c r="M34" s="139" t="n"/>
      <x:c r="N34" s="139" t="n"/>
      <x:c r="O34" s="139" t="n"/>
      <x:c r="P34" s="139" t="n"/>
    </x:row>
    <x:row r="35" s="160" customFormat="1" ht="15" customHeight="1">
      <x:c r="B35" s="38" t="n">
        <x:v>5</x:v>
      </x:c>
      <x:c r="C35" s="124" t="n"/>
      <x:c r="D35" s="121" t="n"/>
      <x:c r="E35" s="139" t="n"/>
      <x:c r="F35" s="139" t="n"/>
      <x:c r="G35" s="139" t="n"/>
      <x:c r="H35" s="139" t="n"/>
      <x:c r="I35" s="139" t="n"/>
      <x:c r="J35" s="139" t="n"/>
      <x:c r="K35" s="139" t="n"/>
      <x:c r="L35" s="139" t="n"/>
      <x:c r="M35" s="139" t="n"/>
      <x:c r="N35" s="139" t="n"/>
      <x:c r="O35" s="139" t="n"/>
      <x:c r="P35" s="139" t="n"/>
    </x:row>
    <x:row r="36" s="160" customFormat="1" ht="15" customHeight="1">
      <x:c r="B36" s="42" t="n">
        <x:v>6</x:v>
      </x:c>
      <x:c r="C36" s="129" t="n"/>
      <x:c r="D36" s="130" t="n"/>
      <x:c r="E36" s="139" t="n"/>
      <x:c r="F36" s="139" t="n"/>
      <x:c r="G36" s="139" t="n"/>
      <x:c r="H36" s="139" t="n"/>
      <x:c r="I36" s="139" t="n"/>
      <x:c r="J36" s="139" t="n"/>
      <x:c r="K36" s="139" t="n"/>
      <x:c r="L36" s="139" t="n"/>
      <x:c r="M36" s="139" t="n"/>
      <x:c r="N36" s="139" t="n"/>
      <x:c r="O36" s="139" t="n"/>
      <x:c r="P36" s="139" t="n"/>
    </x:row>
    <x:row r="37" s="160" customFormat="1" ht="15" customHeight="1">
      <x:c r="B37" s="38" t="n">
        <x:v>7</x:v>
      </x:c>
      <x:c r="C37" s="124" t="n"/>
      <x:c r="D37" s="121" t="n"/>
      <x:c r="E37" s="139" t="n"/>
      <x:c r="F37" s="139" t="n"/>
      <x:c r="G37" s="139" t="n"/>
      <x:c r="H37" s="139" t="n"/>
      <x:c r="I37" s="139" t="n"/>
      <x:c r="J37" s="139" t="n"/>
      <x:c r="K37" s="139" t="n"/>
      <x:c r="L37" s="139" t="n"/>
      <x:c r="M37" s="139" t="n"/>
      <x:c r="N37" s="139" t="n"/>
      <x:c r="O37" s="139" t="n"/>
      <x:c r="P37" s="139" t="n"/>
    </x:row>
    <x:row r="38" s="160" customFormat="1" ht="15" customHeight="1">
      <x:c r="B38" s="144" t="inlineStr">
        <x:is>
          <x:t xml:space="preserve">Average</x:t>
        </x:is>
      </x:c>
      <x:c r="C38" s="145" t="e">
        <x:f>AVERAGE(C31:C37)</x:f>
        <x:v>#DIV/0!</x:v>
      </x:c>
      <x:c r="D38" s="146" t="e">
        <x:f>AVERAGE(D31:D37)</x:f>
        <x:v>#DIV/0!</x:v>
      </x:c>
      <x:c r="E38" s="140" t="n"/>
      <x:c r="F38" s="140" t="n"/>
      <x:c r="G38" s="140" t="n"/>
      <x:c r="H38" s="140" t="n"/>
      <x:c r="I38" s="140" t="n"/>
      <x:c r="J38" s="140" t="n"/>
      <x:c r="K38" s="140" t="n"/>
      <x:c r="L38" s="140" t="n"/>
      <x:c r="M38" s="140" t="n"/>
      <x:c r="N38" s="140" t="n"/>
      <x:c r="O38" s="140" t="n"/>
      <x:c r="P38" s="140" t="n"/>
    </x:row>
    <x:row r="39" s="160" customFormat="1" ht="15" customHeight="1">
      <x:c r="B39" s="147" t="inlineStr">
        <x:is>
          <x:t xml:space="preserve">Subject</x:t>
        </x:is>
      </x:c>
      <x:c r="C39" s="148" t="n">
        <x:f>$I$4</x:f>
        <x:v>0</x:v>
      </x:c>
      <x:c r="D39" s="149" t="n">
        <x:f>$J$4</x:f>
        <x:v>0</x:v>
      </x:c>
      <x:c r="E39" s="140" t="n"/>
      <x:c r="F39" s="140" t="n"/>
      <x:c r="G39" s="140" t="n"/>
      <x:c r="H39" s="140" t="n"/>
      <x:c r="I39" s="140" t="n"/>
      <x:c r="J39" s="140" t="n"/>
      <x:c r="K39" s="140" t="n"/>
      <x:c r="L39" s="140" t="n"/>
      <x:c r="M39" s="140" t="n"/>
      <x:c r="N39" s="140" t="n"/>
      <x:c r="O39" s="140" t="n"/>
      <x:c r="P39" s="140" t="n"/>
    </x:row>
    <x:row r="40" s="160" customFormat="1" ht="6" customHeight="1"/>
    <x:row r="41" s="160" customFormat="1" ht="18" customHeight="1">
      <x:c r="B41" s="204" t="inlineStr">
        <x:is>
          <x:t xml:space="preserve">QUALITATIVE ANALYSIS</x:t>
        </x:is>
      </x:c>
      <x:c r="C41" s="162" t="n"/>
      <x:c r="D41" s="162" t="n"/>
      <x:c r="E41" s="162" t="n"/>
      <x:c r="F41" s="162" t="n"/>
      <x:c r="G41" s="162" t="n"/>
      <x:c r="H41" s="162" t="n"/>
      <x:c r="I41" s="162" t="n"/>
      <x:c r="J41" s="162" t="n"/>
      <x:c r="K41" s="162" t="n"/>
      <x:c r="L41" s="162" t="n"/>
      <x:c r="M41" s="162" t="n"/>
      <x:c r="N41" s="162" t="n"/>
      <x:c r="O41" s="162" t="n"/>
      <x:c r="P41" s="162" t="n"/>
      <x:c r="Q41" s="163" t="n"/>
    </x:row>
    <x:row r="42" s="160" customFormat="1" ht="16.049999237060547" customHeight="1">
      <x:c r="B42" s="141" t="inlineStr">
        <x:is>
          <x:t xml:space="preserve">Sale No.</x:t>
        </x:is>
      </x:c>
      <x:c r="C42" s="141" t="inlineStr">
        <x:is>
          <x:t xml:space="preserve">Median Income</x:t>
        </x:is>
      </x:c>
      <x:c r="D42" s="141" t="inlineStr">
        <x:is>
          <x:t xml:space="preserve">Population</x:t>
        </x:is>
      </x:c>
      <x:c r="E42" s="141" t="inlineStr">
        <x:is>
          <x:t xml:space="preserve">Access</x:t>
        </x:is>
      </x:c>
      <x:c r="F42" s="141" t="inlineStr">
        <x:is>
          <x:t xml:space="preserve">Visibility</x:t>
        </x:is>
      </x:c>
      <x:c r="G42" s="141" t="inlineStr">
        <x:is>
          <x:t xml:space="preserve">Quality</x:t>
        </x:is>
      </x:c>
      <x:c r="H42" s="141" t="inlineStr">
        <x:is>
          <x:t xml:space="preserve">Condition</x:t>
        </x:is>
      </x:c>
      <x:c r="I42" s="141" t="inlineStr">
        <x:is>
          <x:t xml:space="preserve">Age</x:t>
        </x:is>
      </x:c>
      <x:c r="J42" s="141" t="inlineStr">
        <x:is>
          <x:t xml:space="preserve">Flood Zone</x:t>
        </x:is>
      </x:c>
      <x:c r="K42" s="141" t="inlineStr">
        <x:is>
          <x:t xml:space="preserve">LTB</x:t>
        </x:is>
      </x:c>
      <x:c r="L42" s="141" t="inlineStr">
        <x:is>
          <x:t xml:space="preserve">Utility</x:t>
        </x:is>
      </x:c>
      <x:c r="M42" s="141" t="inlineStr">
        <x:is>
          <x:t xml:space="preserve">Overall</x:t>
        </x:is>
      </x:c>
      <x:c r="N42" s="141" t="n"/>
      <x:c r="O42" s="141" t="inlineStr">
        <x:is>
          <x:t xml:space="preserve">Similar</x:t>
        </x:is>
      </x:c>
      <x:c r="P42" s="141" t="inlineStr">
        <x:is>
          <x:t xml:space="preserve">Superior</x:t>
        </x:is>
      </x:c>
      <x:c r="Q42" s="141" t="inlineStr">
        <x:is>
          <x:t xml:space="preserve">Inferior</x:t>
        </x:is>
      </x:c>
    </x:row>
    <x:row r="43" s="160" customFormat="1" ht="15" customHeight="1">
      <x:c r="B43" s="38" t="n">
        <x:v>1</x:v>
      </x:c>
      <x:c r="C43" s="38" t="str">
        <x:f>IF(C31&gt;$I$4*1.1,"Superior",IF(C31&lt;$I$4*0.9,"Inferior","Similar"))</x:f>
        <x:v>Similar</x:v>
      </x:c>
      <x:c r="D43" s="38" t="str">
        <x:f>IF(D31&gt;$J$4*1.1,"Superior",IF(D31&lt;$J$4*0.9,"Inferior","Similar"))</x:f>
        <x:v>Similar</x:v>
      </x:c>
      <x:c r="E43" s="38" t="n"/>
      <x:c r="F43" s="38" t="n"/>
      <x:c r="G43" s="38" t="n"/>
      <x:c r="H43" s="38" t="n"/>
      <x:c r="I43" s="38" t="n"/>
      <x:c r="J43" s="38" t="str">
        <x:f>IF($K$4="No",IF(J9="No","Similar","Inferior"),IF(J9="No","Superior","Similar"))</x:f>
        <x:v>Similar</x:v>
      </x:c>
      <x:c r="K43" s="38" t="str">
        <x:f>IF(K9&gt;$L$4*1.1,"Superior",IF(K9&lt;$L$4*0.9,"Inferior","Similar"))</x:f>
        <x:v>Similar</x:v>
      </x:c>
      <x:c r="L43" s="38" t="n"/>
      <x:c r="M43" s="38" t="n"/>
      <x:c r="N43" s="38" t="n"/>
      <x:c r="O43" s="38" t="n"/>
      <x:c r="P43" s="38" t="n"/>
      <x:c r="Q43" s="38" t="n"/>
    </x:row>
    <x:row r="44" s="160" customFormat="1" ht="15" customHeight="1">
      <x:c r="B44" s="42" t="n">
        <x:v>2</x:v>
      </x:c>
      <x:c r="C44" s="42" t="str">
        <x:f>IF(C32&gt;$I$4*1.1,"Superior",IF(C32&lt;$I$4*0.9,"Inferior","Similar"))</x:f>
        <x:v>Similar</x:v>
      </x:c>
      <x:c r="D44" s="42" t="str">
        <x:f>IF(D32&gt;$J$4*1.1,"Superior",IF(D32&lt;$J$4*0.9,"Inferior","Similar"))</x:f>
        <x:v>Similar</x:v>
      </x:c>
      <x:c r="E44" s="42" t="n"/>
      <x:c r="F44" s="42" t="n"/>
      <x:c r="G44" s="42" t="n"/>
      <x:c r="H44" s="42" t="n"/>
      <x:c r="I44" s="42" t="n"/>
      <x:c r="J44" s="42" t="str">
        <x:f>IF($K$4="No",IF(J10="No","Similar","Inferior"),IF(J10="No","Superior","Similar"))</x:f>
        <x:v>Similar</x:v>
      </x:c>
      <x:c r="K44" s="42" t="str">
        <x:f>IF(K10&gt;$L$4*1.1,"Superior",IF(K10&lt;$L$4*0.9,"Inferior","Similar"))</x:f>
        <x:v>Similar</x:v>
      </x:c>
      <x:c r="L44" s="42" t="n"/>
      <x:c r="M44" s="42" t="n"/>
      <x:c r="N44" s="42" t="n"/>
      <x:c r="O44" s="42" t="n"/>
      <x:c r="P44" s="42" t="n"/>
      <x:c r="Q44" s="42" t="n"/>
    </x:row>
    <x:row r="45" s="160" customFormat="1" ht="15" customHeight="1">
      <x:c r="B45" s="38" t="n">
        <x:v>3</x:v>
      </x:c>
      <x:c r="C45" s="38" t="str">
        <x:f>IF(C33&gt;$I$4*1.1,"Superior",IF(C33&lt;$I$4*0.9,"Inferior","Similar"))</x:f>
        <x:v>Similar</x:v>
      </x:c>
      <x:c r="D45" s="38" t="str">
        <x:f>IF(D33&gt;$J$4*1.1,"Superior",IF(D33&lt;$J$4*0.9,"Inferior","Similar"))</x:f>
        <x:v>Similar</x:v>
      </x:c>
      <x:c r="E45" s="38" t="n"/>
      <x:c r="F45" s="38" t="n"/>
      <x:c r="G45" s="38" t="n"/>
      <x:c r="H45" s="38" t="n"/>
      <x:c r="I45" s="38" t="n"/>
      <x:c r="J45" s="38" t="str">
        <x:f>IF($K$4="No",IF(J11="No","Similar","Inferior"),IF(J11="No","Superior","Similar"))</x:f>
        <x:v>Similar</x:v>
      </x:c>
      <x:c r="K45" s="38" t="str">
        <x:f>IF(K11&gt;$L$4*1.1,"Superior",IF(K11&lt;$L$4*0.9,"Inferior","Similar"))</x:f>
        <x:v>Similar</x:v>
      </x:c>
      <x:c r="L45" s="38" t="n"/>
      <x:c r="M45" s="38" t="n"/>
      <x:c r="N45" s="38" t="n"/>
      <x:c r="O45" s="38" t="n"/>
      <x:c r="P45" s="38" t="n"/>
      <x:c r="Q45" s="38" t="n"/>
    </x:row>
    <x:row r="46" s="160" customFormat="1" ht="15" customHeight="1">
      <x:c r="B46" s="42" t="n">
        <x:v>4</x:v>
      </x:c>
      <x:c r="C46" s="42" t="str">
        <x:f>IF(C34&gt;$I$4*1.1,"Superior",IF(C34&lt;$I$4*0.9,"Inferior","Similar"))</x:f>
        <x:v>Similar</x:v>
      </x:c>
      <x:c r="D46" s="42" t="str">
        <x:f>IF(D34&gt;$J$4*1.1,"Superior",IF(D34&lt;$J$4*0.9,"Inferior","Similar"))</x:f>
        <x:v>Similar</x:v>
      </x:c>
      <x:c r="E46" s="42" t="n"/>
      <x:c r="F46" s="42" t="n"/>
      <x:c r="G46" s="42" t="n"/>
      <x:c r="H46" s="42" t="n"/>
      <x:c r="I46" s="42" t="n"/>
      <x:c r="J46" s="42" t="str">
        <x:f>IF($K$4="No",IF(J12="No","Similar","Inferior"),IF(J12="No","Superior","Similar"))</x:f>
        <x:v>Similar</x:v>
      </x:c>
      <x:c r="K46" s="42" t="str">
        <x:f>IF(K12&gt;$L$4*1.1,"Superior",IF(K12&lt;$L$4*0.9,"Inferior","Similar"))</x:f>
        <x:v>Similar</x:v>
      </x:c>
      <x:c r="L46" s="42" t="n"/>
      <x:c r="M46" s="42" t="n"/>
      <x:c r="N46" s="42" t="n"/>
      <x:c r="O46" s="42" t="n"/>
      <x:c r="P46" s="42" t="n"/>
      <x:c r="Q46" s="42" t="n"/>
    </x:row>
    <x:row r="47" s="160" customFormat="1" ht="15" customHeight="1">
      <x:c r="B47" s="38" t="n">
        <x:v>5</x:v>
      </x:c>
      <x:c r="C47" s="38" t="str">
        <x:f>IF(C35&gt;$I$4*1.1,"Superior",IF(C35&lt;$I$4*0.9,"Inferior","Similar"))</x:f>
        <x:v>Similar</x:v>
      </x:c>
      <x:c r="D47" s="38" t="str">
        <x:f>IF(D35&gt;$J$4*1.1,"Superior",IF(D35&lt;$J$4*0.9,"Inferior","Similar"))</x:f>
        <x:v>Similar</x:v>
      </x:c>
      <x:c r="E47" s="38" t="n"/>
      <x:c r="F47" s="38" t="n"/>
      <x:c r="G47" s="38" t="n"/>
      <x:c r="H47" s="38" t="n"/>
      <x:c r="I47" s="38" t="n"/>
      <x:c r="J47" s="38" t="str">
        <x:f>IF($K$4="No",IF(J13="No","Similar","Inferior"),IF(J13="No","Superior","Similar"))</x:f>
        <x:v>Similar</x:v>
      </x:c>
      <x:c r="K47" s="38" t="str">
        <x:f>IF(K13&gt;$L$4*1.1,"Superior",IF(K13&lt;$L$4*0.9,"Inferior","Similar"))</x:f>
        <x:v>Similar</x:v>
      </x:c>
      <x:c r="L47" s="38" t="n"/>
      <x:c r="M47" s="38" t="n"/>
      <x:c r="N47" s="38" t="n"/>
      <x:c r="O47" s="38" t="n"/>
      <x:c r="P47" s="38" t="n"/>
      <x:c r="Q47" s="38" t="n"/>
    </x:row>
    <x:row r="48" s="160" customFormat="1" ht="15" customHeight="1">
      <x:c r="B48" s="42" t="n">
        <x:v>6</x:v>
      </x:c>
      <x:c r="C48" s="42" t="str">
        <x:f>IF(C36&gt;$I$4*1.1,"Superior",IF(C36&lt;$I$4*0.9,"Inferior","Similar"))</x:f>
        <x:v>Similar</x:v>
      </x:c>
      <x:c r="D48" s="42" t="str">
        <x:f>IF(D36&gt;$J$4*1.1,"Superior",IF(D36&lt;$J$4*0.9,"Inferior","Similar"))</x:f>
        <x:v>Similar</x:v>
      </x:c>
      <x:c r="E48" s="42" t="n"/>
      <x:c r="F48" s="42" t="n"/>
      <x:c r="G48" s="42" t="n"/>
      <x:c r="H48" s="42" t="n"/>
      <x:c r="I48" s="42" t="n"/>
      <x:c r="J48" s="42" t="str">
        <x:f>IF($K$4="No",IF(J14="No","Similar","Inferior"),IF(J14="No","Superior","Similar"))</x:f>
        <x:v>Similar</x:v>
      </x:c>
      <x:c r="K48" s="42" t="str">
        <x:f>IF(K14&gt;$L$4*1.1,"Superior",IF(K14&lt;$L$4*0.9,"Inferior","Similar"))</x:f>
        <x:v>Similar</x:v>
      </x:c>
      <x:c r="L48" s="42" t="n"/>
      <x:c r="M48" s="42" t="n"/>
      <x:c r="N48" s="42" t="n"/>
      <x:c r="O48" s="42" t="n"/>
      <x:c r="P48" s="42" t="n"/>
      <x:c r="Q48" s="42" t="n"/>
    </x:row>
    <x:row r="49" s="160" customFormat="1" ht="15" customHeight="1">
      <x:c r="B49" s="38" t="n">
        <x:v>7</x:v>
      </x:c>
      <x:c r="C49" s="38" t="str">
        <x:f>IF(C37&gt;$I$4*1.1,"Superior",IF(C37&lt;$I$4*0.9,"Inferior","Similar"))</x:f>
        <x:v>Similar</x:v>
      </x:c>
      <x:c r="D49" s="38" t="str">
        <x:f>IF(D37&gt;$J$4*1.1,"Superior",IF(D37&lt;$J$4*0.9,"Inferior","Similar"))</x:f>
        <x:v>Similar</x:v>
      </x:c>
      <x:c r="E49" s="38" t="n"/>
      <x:c r="F49" s="38" t="n"/>
      <x:c r="G49" s="38" t="n"/>
      <x:c r="H49" s="38" t="n"/>
      <x:c r="I49" s="38" t="n"/>
      <x:c r="J49" s="38" t="str">
        <x:f>IF($K$4="No",IF(J15="No","Similar","Inferior"),IF(J15="No","Superior","Similar"))</x:f>
        <x:v>Similar</x:v>
      </x:c>
      <x:c r="K49" s="38" t="str">
        <x:f>IF(K15&gt;$L$4*1.1,"Superior",IF(K15&lt;$L$4*0.9,"Inferior","Similar"))</x:f>
        <x:v>Similar</x:v>
      </x:c>
      <x:c r="L49" s="38" t="n"/>
      <x:c r="M49" s="38" t="n"/>
      <x:c r="N49" s="38" t="n"/>
      <x:c r="O49" s="38" t="n"/>
      <x:c r="P49" s="38" t="n"/>
      <x:c r="Q49" s="38" t="n"/>
    </x:row>
    <x:row r="50" s="160" customFormat="1" ht="6" customHeight="1"/>
    <x:row r="51" s="160" customFormat="1" ht="13.949999809265137" customHeight="1">
      <x:c r="B51" s="48" t="n"/>
      <x:c r="C51" s="137" t="n"/>
      <x:c r="D51" s="137" t="n"/>
      <x:c r="E51" s="137" t="n"/>
      <x:c r="F51" s="137" t="n"/>
      <x:c r="G51" s="137" t="n"/>
      <x:c r="H51" s="137" t="n"/>
      <x:c r="I51" s="137" t="n"/>
      <x:c r="J51" s="137" t="n"/>
      <x:c r="K51" s="137" t="n"/>
      <x:c r="L51" s="137" t="inlineStr">
        <x:is>
          <x:t xml:space="preserve">avg</x:t>
        </x:is>
      </x:c>
      <x:c r="M51" s="137" t="e">
        <x:f>AVERAGE(sales!J20,sales!J22,sales!J23,sales!J24,sales!J25,sales!J26)</x:f>
        <x:v>#VALUE!</x:v>
      </x:c>
      <x:c r="N51" s="137" t="n"/>
      <x:c r="O51" s="137" t="n"/>
      <x:c r="P51" s="137" t="n"/>
      <x:c r="Q51" s="137" t="n"/>
    </x:row>
    <x:row r="52" s="160" customFormat="1" ht="13.949999809265137" customHeight="1">
      <x:c r="B52" s="48" t="n"/>
      <x:c r="C52" s="137" t="n"/>
      <x:c r="D52" s="137" t="n"/>
      <x:c r="E52" s="137" t="n"/>
      <x:c r="F52" s="137" t="n"/>
      <x:c r="G52" s="137" t="n"/>
      <x:c r="H52" s="137" t="n"/>
      <x:c r="I52" s="137" t="n"/>
      <x:c r="J52" s="137" t="n"/>
      <x:c r="K52" s="137" t="n"/>
      <x:c r="L52" s="137" t="inlineStr">
        <x:is>
          <x:t xml:space="preserve">med</x:t>
        </x:is>
      </x:c>
      <x:c r="M52" s="137" t="e">
        <x:f>MEDIAN(sales!J20,sales!J22,sales!J23,sales!J24,sales!J25,sales!J26)</x:f>
        <x:v>#VALUE!</x:v>
      </x:c>
      <x:c r="N52" s="137" t="n"/>
      <x:c r="O52" s="137" t="n"/>
      <x:c r="P52" s="137" t="n"/>
      <x:c r="Q52" s="137" t="n"/>
    </x:row>
    <x:row r="53" s="160" customFormat="1" ht="6" customHeight="1"/>
    <x:row r="54" s="160" customFormat="1" ht="18" customHeight="1">
      <x:c r="B54" s="186" t="inlineStr">
        <x:is>
          <x:t xml:space="preserve">SALES CONCLUSION</x:t>
        </x:is>
      </x:c>
      <x:c r="C54" s="162" t="n"/>
      <x:c r="D54" s="162" t="n"/>
      <x:c r="E54" s="190" t="n"/>
      <x:c r="F54" s="190" t="n"/>
      <x:c r="G54" s="190" t="n"/>
      <x:c r="H54" s="190" t="n"/>
      <x:c r="I54" s="190" t="n"/>
      <x:c r="J54" s="190" t="n"/>
      <x:c r="K54" s="190" t="n"/>
      <x:c r="L54" s="190" t="n"/>
      <x:c r="M54" s="190" t="n"/>
      <x:c r="N54" s="190" t="n"/>
      <x:c r="O54" s="190" t="n"/>
      <x:c r="P54" s="190" t="n"/>
      <x:c r="Q54" s="190" t="n"/>
    </x:row>
    <x:row r="55" s="160" customFormat="1" ht="13.800000190734863" customHeight="1">
      <x:c r="B55" s="141" t="inlineStr">
        <x:is>
          <x:t xml:space="preserve">GBA</x:t>
        </x:is>
      </x:c>
      <x:c r="C55" s="142" t="inlineStr">
        <x:is>
          <x:t xml:space="preserve">Price per unit</x:t>
        </x:is>
      </x:c>
      <x:c r="D55" s="188" t="inlineStr">
        <x:is>
          <x:t xml:space="preserve">Property value</x:t>
        </x:is>
      </x:c>
      <x:c r="E55" s="191" t="n"/>
      <x:c r="F55" s="191" t="n"/>
      <x:c r="G55" s="191" t="n"/>
      <x:c r="H55" s="191" t="n"/>
      <x:c r="I55" s="191" t="n"/>
      <x:c r="J55" s="191" t="n"/>
      <x:c r="K55" s="191" t="n"/>
      <x:c r="L55" s="191" t="n"/>
      <x:c r="M55" s="191" t="n"/>
      <x:c r="N55" s="191" t="n"/>
      <x:c r="O55" s="191" t="n"/>
      <x:c r="P55" s="191" t="n"/>
      <x:c r="Q55" s="191" t="n"/>
    </x:row>
    <x:row r="56" s="160" customFormat="1" ht="16.049999237060547" customHeight="1">
      <x:c r="B56" s="143" t="n"/>
      <x:c r="C56" s="143" t="n"/>
      <x:c r="D56" s="189" t="n">
        <x:f>B56*C56</x:f>
        <x:v>0</x:v>
      </x:c>
      <x:c r="E56" s="192" t="n"/>
      <x:c r="F56" s="192" t="n"/>
      <x:c r="G56" s="192" t="n"/>
      <x:c r="H56" s="192" t="n"/>
      <x:c r="I56" s="192" t="n"/>
      <x:c r="J56" s="192" t="n"/>
      <x:c r="K56" s="192" t="n"/>
      <x:c r="L56" s="192" t="n"/>
      <x:c r="M56" s="192" t="n"/>
      <x:c r="N56" s="192" t="n"/>
      <x:c r="O56" s="192" t="n"/>
      <x:c r="P56" s="192" t="n"/>
      <x:c r="Q56" s="192" t="n"/>
    </x:row>
  </x:sheetData>
  <x:mergeCells>
    <x:mergeCell ref="B7:L7"/>
    <x:mergeCell ref="B41:Q41"/>
    <x:mergeCell ref="B29:E29"/>
    <x:mergeCell ref="B18:J18"/>
    <x:mergeCell ref="B2:H2"/>
    <x:mergeCell ref="B54:D54"/>
  </x:mergeCells>
  <x:conditionalFormatting sqref="C43:M49">
    <x:cfRule type="expression" dxfId="1" priority="1">
      <x:formula>C43="Superior"</x:formula>
    </x:cfRule>
    <x:cfRule type="expression" dxfId="0" priority="2">
      <x:formula>C43="Inferior"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3.199999809265137"/>
  <x:cols>
    <x:col min="1" max="1" width="18" style="160" customWidth="1"/>
    <x:col min="2" max="2" width="16" style="160" customWidth="1"/>
    <x:col min="3" max="6" width="14" style="160" customWidth="1"/>
    <x:col min="7" max="7" width="22" style="160" customWidth="1"/>
    <x:col min="8" max="8" width="12" style="160" customWidth="1"/>
  </x:cols>
  <x:sheetData>
    <x:row r="1" s="160" customFormat="1" ht="22.049999237060547" customHeight="1">
      <x:c r="A1" s="205" t="inlineStr">
        <x:is>
          <x:t xml:space="preserve">Size Adjustment Worksheet  —  Dilmore Method</x:t>
        </x:is>
      </x:c>
      <x:c r="B1" s="162" t="n"/>
      <x:c r="C1" s="162" t="n"/>
      <x:c r="D1" s="162" t="n"/>
      <x:c r="E1" s="162" t="n"/>
      <x:c r="F1" s="162" t="n"/>
      <x:c r="G1" s="162" t="n"/>
      <x:c r="H1" s="163" t="n"/>
    </x:row>
    <x:row r="2" s="160" customFormat="1" ht="6" customHeight="1"/>
    <x:row r="3" s="160" customFormat="1" ht="15" customHeight="1">
      <x:c r="A3" s="46" t="inlineStr">
        <x:is>
          <x:t xml:space="preserve">Elasticity Curve:</x:t>
        </x:is>
      </x:c>
      <x:c r="B3" s="47" t="n">
        <x:v>85</x:v>
      </x:c>
      <x:c r="C3" s="48" t="inlineStr">
        <x:is>
          <x:t xml:space="preserve">← Select: 80, 82.5, 85, 87.5, or 90</x:t>
        </x:is>
      </x:c>
      <x:c r="D3" s="49" t="n"/>
      <x:c r="E3" s="49" t="n"/>
      <x:c r="F3" s="49" t="n"/>
      <x:c r="G3" s="49" t="n"/>
      <x:c r="H3" s="49" t="n"/>
    </x:row>
    <x:row r="4" s="160" customFormat="1" ht="15" customHeight="1">
      <x:c r="A4" s="46" t="inlineStr">
        <x:is>
          <x:t xml:space="preserve">Subject GBA (SF):</x:t>
        </x:is>
      </x:c>
      <x:c r="B4" s="47" t="str">
        <x:f>Intake!B55</x:f>
        <x:v>Office Development</x:v>
      </x:c>
      <x:c r="C4" s="48" t="inlineStr">
        <x:is>
          <x:t xml:space="preserve">← Linked to Intake tab (GBA row)</x:t>
        </x:is>
      </x:c>
      <x:c r="D4" s="49" t="n"/>
      <x:c r="E4" s="49" t="n"/>
      <x:c r="F4" s="49" t="n"/>
      <x:c r="G4" s="49" t="n"/>
      <x:c r="H4" s="49" t="n"/>
    </x:row>
    <x:row r="5" s="160" customFormat="1" ht="13.949999809265137" customHeight="1">
      <x:c r="A5" s="206" t="n"/>
      <x:c r="B5" s="162" t="n"/>
      <x:c r="C5" s="162" t="n"/>
      <x:c r="D5" s="162" t="n"/>
      <x:c r="E5" s="162" t="n"/>
      <x:c r="F5" s="162" t="n"/>
      <x:c r="G5" s="162" t="n"/>
      <x:c r="H5" s="163" t="n"/>
    </x:row>
    <x:row r="6" s="160" customFormat="1" ht="16.049999237060547" customHeight="1">
      <x:c r="A6" s="37" t="inlineStr">
        <x:is>
          <x:t xml:space="preserve">Comp</x:t>
        </x:is>
      </x:c>
      <x:c r="B6" s="37" t="inlineStr">
        <x:is>
          <x:t xml:space="preserve">Comp GBA (SF)</x:t>
        </x:is>
      </x:c>
      <x:c r="C6" s="37" t="inlineStr">
        <x:is>
          <x:t xml:space="preserve">Ratio (Ac/As)</x:t>
        </x:is>
      </x:c>
      <x:c r="D6" s="37" t="inlineStr">
        <x:is>
          <x:t xml:space="preserve">Size Factor</x:t>
        </x:is>
      </x:c>
      <x:c r="E6" s="37" t="inlineStr">
        <x:is>
          <x:t xml:space="preserve">Adj %</x:t>
        </x:is>
      </x:c>
      <x:c r="F6" s="37" t="inlineStr">
        <x:is>
          <x:t xml:space="preserve">Adj $ / SF</x:t>
        </x:is>
      </x:c>
      <x:c r="G6" s="37" t="inlineStr">
        <x:is>
          <x:t xml:space="preserve">Notes</x:t>
        </x:is>
      </x:c>
      <x:c r="H6" s="37" t="n"/>
    </x:row>
    <x:row r="7" s="160" customFormat="1" ht="15" customHeight="1">
      <x:c r="A7" s="38" t="inlineStr">
        <x:is>
          <x:t xml:space="preserve">Sale No. 1</x:t>
        </x:is>
      </x:c>
      <x:c r="B7" s="47" t="n"/>
      <x:c r="C7" s="50" t="str">
        <x:f>IF(B7="","",IFERROR(B7/$B$4,""))</x:f>
      </x:c>
      <x:c r="D7" s="51" t="n"/>
      <x:c r="E7" s="52" t="n"/>
      <x:c r="F7" s="41" t="n"/>
      <x:c r="G7" s="41" t="n"/>
      <x:c r="H7" s="41" t="n"/>
    </x:row>
    <x:row r="8" s="160" customFormat="1" ht="15" customHeight="1">
      <x:c r="A8" s="42" t="inlineStr">
        <x:is>
          <x:t xml:space="preserve">Sale No. 2</x:t>
        </x:is>
      </x:c>
      <x:c r="B8" s="47" t="n"/>
      <x:c r="C8" s="53" t="str">
        <x:f>IF(B8="","",IFERROR(B8/$B$4,""))</x:f>
      </x:c>
      <x:c r="D8" s="54" t="n"/>
      <x:c r="E8" s="55" t="n"/>
      <x:c r="F8" s="44" t="n"/>
      <x:c r="G8" s="44" t="n"/>
      <x:c r="H8" s="44" t="n"/>
    </x:row>
    <x:row r="9" s="160" customFormat="1" ht="15" customHeight="1">
      <x:c r="A9" s="38" t="inlineStr">
        <x:is>
          <x:t xml:space="preserve">Sale No. 3</x:t>
        </x:is>
      </x:c>
      <x:c r="B9" s="47" t="n"/>
      <x:c r="C9" s="50" t="str">
        <x:f>IF(B9="","",IFERROR(B9/$B$4,""))</x:f>
      </x:c>
      <x:c r="D9" s="51" t="n"/>
      <x:c r="E9" s="52" t="n"/>
      <x:c r="F9" s="41" t="n"/>
      <x:c r="G9" s="41" t="n"/>
      <x:c r="H9" s="41" t="n"/>
    </x:row>
    <x:row r="10" s="160" customFormat="1" ht="15" customHeight="1">
      <x:c r="A10" s="42" t="inlineStr">
        <x:is>
          <x:t xml:space="preserve">Sale No. 4</x:t>
        </x:is>
      </x:c>
      <x:c r="B10" s="47" t="n"/>
      <x:c r="C10" s="53" t="str">
        <x:f>IF(B10="","",IFERROR(B10/$B$4,""))</x:f>
      </x:c>
      <x:c r="D10" s="54" t="n"/>
      <x:c r="E10" s="55" t="n"/>
      <x:c r="F10" s="44" t="n"/>
      <x:c r="G10" s="44" t="n"/>
      <x:c r="H10" s="44" t="n"/>
    </x:row>
    <x:row r="11" s="160" customFormat="1" ht="15" customHeight="1">
      <x:c r="A11" s="38" t="inlineStr">
        <x:is>
          <x:t xml:space="preserve">Sale No. 5</x:t>
        </x:is>
      </x:c>
      <x:c r="B11" s="47" t="n"/>
      <x:c r="C11" s="50" t="str">
        <x:f>IF(B11="","",IFERROR(B11/$B$4,""))</x:f>
      </x:c>
      <x:c r="D11" s="51" t="n"/>
      <x:c r="E11" s="52" t="n"/>
      <x:c r="F11" s="41" t="n"/>
      <x:c r="G11" s="41" t="n"/>
      <x:c r="H11" s="41" t="n"/>
    </x:row>
    <x:row r="12" s="160" customFormat="1" ht="15" customHeight="1">
      <x:c r="A12" s="42" t="inlineStr">
        <x:is>
          <x:t xml:space="preserve">Sale No. 6</x:t>
        </x:is>
      </x:c>
      <x:c r="B12" s="47" t="n"/>
      <x:c r="C12" s="53" t="str">
        <x:f>IF(B12="","",IFERROR(B12/$B$4,""))</x:f>
      </x:c>
      <x:c r="D12" s="54" t="n"/>
      <x:c r="E12" s="55" t="n"/>
      <x:c r="F12" s="44" t="n"/>
      <x:c r="G12" s="44" t="n"/>
      <x:c r="H12" s="44" t="n"/>
    </x:row>
    <x:row r="13" s="160" customFormat="1" ht="15" customHeight="1">
      <x:c r="A13" s="38" t="inlineStr">
        <x:is>
          <x:t xml:space="preserve">Sale No. 7</x:t>
        </x:is>
      </x:c>
      <x:c r="B13" s="47" t="n"/>
      <x:c r="C13" s="50" t="str">
        <x:f>IF(B13="","",IFERROR(B13/$B$4,""))</x:f>
      </x:c>
      <x:c r="D13" s="51" t="n"/>
      <x:c r="E13" s="52" t="n"/>
      <x:c r="F13" s="41" t="n"/>
      <x:c r="G13" s="41" t="n"/>
      <x:c r="H13" s="41" t="n"/>
    </x:row>
    <x:row r="14" s="160" customFormat="1" ht="15" customHeight="1">
      <x:c r="A14" s="42" t="inlineStr">
        <x:is>
          <x:t xml:space="preserve">Sale No. 8</x:t>
        </x:is>
      </x:c>
      <x:c r="B14" s="47" t="n"/>
      <x:c r="C14" s="53" t="str">
        <x:f>IF(B14="","",IFERROR(B14/$B$4,""))</x:f>
      </x:c>
      <x:c r="D14" s="54" t="n"/>
      <x:c r="E14" s="55" t="n"/>
      <x:c r="F14" s="44" t="n"/>
      <x:c r="G14" s="44" t="n"/>
      <x:c r="H14" s="44" t="n"/>
    </x:row>
    <x:row r="15" s="160" customFormat="1" ht="15" customHeight="1">
      <x:c r="A15" s="38" t="inlineStr">
        <x:is>
          <x:t xml:space="preserve">Sale No. 9</x:t>
        </x:is>
      </x:c>
      <x:c r="B15" s="47" t="n"/>
      <x:c r="C15" s="50" t="str">
        <x:f>IF(B15="","",IFERROR(B15/$B$4,""))</x:f>
      </x:c>
      <x:c r="D15" s="51" t="n"/>
      <x:c r="E15" s="52" t="n"/>
      <x:c r="F15" s="41" t="n"/>
      <x:c r="G15" s="41" t="n"/>
      <x:c r="H15" s="41" t="n"/>
    </x:row>
    <x:row r="16" s="160" customFormat="1" ht="15" customHeight="1">
      <x:c r="A16" s="42" t="inlineStr">
        <x:is>
          <x:t xml:space="preserve">Sale No. 10</x:t>
        </x:is>
      </x:c>
      <x:c r="B16" s="47" t="n"/>
      <x:c r="C16" s="53" t="str">
        <x:f>IF(B16="","",IFERROR(B16/$B$4,""))</x:f>
      </x:c>
      <x:c r="D16" s="54" t="n"/>
      <x:c r="E16" s="55" t="n"/>
      <x:c r="F16" s="44" t="n"/>
      <x:c r="G16" s="44" t="n"/>
      <x:c r="H16" s="44" t="n"/>
    </x:row>
    <x:row r="17" s="160" customFormat="1" ht="6" customHeight="1"/>
    <x:row r="18" s="160" customFormat="1" ht="13.949999809265137" customHeight="1">
      <x:c r="A18" s="207" t="inlineStr">
        <x:is>
          <x:t xml:space="preserve">Green cells = manual entry.  Factor &amp; Adj % columns are auto-filled by: python axiom.py deliver &lt;file_no&gt;</x:t>
        </x:is>
      </x:c>
      <x:c r="B18" s="162" t="n"/>
      <x:c r="C18" s="162" t="n"/>
      <x:c r="D18" s="162" t="n"/>
      <x:c r="E18" s="162" t="n"/>
      <x:c r="F18" s="162" t="n"/>
      <x:c r="G18" s="162" t="n"/>
      <x:c r="H18" s="163" t="n"/>
    </x:row>
  </x:sheetData>
  <x:mergeCells>
    <x:mergeCell ref="A18:H18"/>
    <x:mergeCell ref="A1:H1"/>
    <x:mergeCell ref="A5:H5"/>
  </x:mergeCells>
  <x:dataValidations count="1">
    <x:dataValidation type="list" allowBlank="0" showDropDown="0" showInputMessage="0" showErrorMessage="0" sqref="B3">
      <x:formula1>"80,82.5,85,87.5,90"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3.199999809265137"/>
  <x:cols>
    <x:col min="1" max="1" width="2" style="160" customWidth="1"/>
    <x:col min="2" max="2" width="13.5546875" style="160" customWidth="1"/>
    <x:col min="3" max="3" width="28" style="160" customWidth="1"/>
    <x:col min="4" max="4" width="12" style="160" customWidth="1"/>
    <x:col min="5" max="6" width="14" style="160" customWidth="1"/>
    <x:col min="7" max="7" width="12" style="160" customWidth="1"/>
    <x:col min="8" max="8" width="10" style="160" customWidth="1"/>
    <x:col min="9" max="9" width="8" style="160" customWidth="1"/>
    <x:col min="10" max="10" width="12" style="160" customWidth="1"/>
  </x:cols>
  <x:sheetData>
    <x:row r="1" s="160" customFormat="1" ht="6" customHeight="1"/>
    <x:row r="2" s="160" customFormat="1" ht="18" customHeight="1">
      <x:c r="B2" s="204" t="inlineStr">
        <x:is>
          <x:t xml:space="preserve">COMPARABLE LAND SALES — SUMMARY</x:t>
        </x:is>
      </x:c>
      <x:c r="C2" s="162" t="n"/>
      <x:c r="D2" s="162" t="n"/>
      <x:c r="E2" s="162" t="n"/>
      <x:c r="F2" s="162" t="n"/>
      <x:c r="G2" s="162" t="n"/>
      <x:c r="H2" s="162" t="n"/>
      <x:c r="I2" s="162" t="n"/>
      <x:c r="J2" s="163" t="n"/>
    </x:row>
    <x:row r="3" s="160" customFormat="1" ht="13.949999809265137" customHeight="1">
      <x:c r="B3" s="208" t="str">
        <x:v>Subject: 100 Example Commerce Way, Sample City — 55,452 SF (1.27 Ac), Zone X, C-5</x:v>
      </x:c>
      <x:c r="C3" s="162" t="n"/>
      <x:c r="D3" s="162" t="n"/>
      <x:c r="E3" s="162" t="n"/>
      <x:c r="F3" s="162" t="n"/>
      <x:c r="G3" s="162" t="n"/>
      <x:c r="H3" s="162" t="n"/>
      <x:c r="I3" s="162" t="n"/>
      <x:c r="J3" s="163" t="n"/>
    </x:row>
    <x:row r="4" s="160" customFormat="1" ht="16.049999237060547" customHeight="1">
      <x:c r="B4" s="37" t="inlineStr">
        <x:is>
          <x:t xml:space="preserve">Sale No.</x:t>
        </x:is>
      </x:c>
      <x:c r="C4" s="37" t="inlineStr">
        <x:is>
          <x:t xml:space="preserve">Location</x:t>
        </x:is>
      </x:c>
      <x:c r="D4" s="37" t="inlineStr">
        <x:is>
          <x:t xml:space="preserve">Sale Date</x:t>
        </x:is>
      </x:c>
      <x:c r="E4" s="37" t="inlineStr">
        <x:is>
          <x:t xml:space="preserve">Sale Price</x:t>
        </x:is>
      </x:c>
      <x:c r="F4" s="37" t="inlineStr">
        <x:is>
          <x:t xml:space="preserve">Site Area (SF)</x:t>
        </x:is>
      </x:c>
      <x:c r="G4" s="37" t="inlineStr">
        <x:is>
          <x:t xml:space="preserve">Price/SF</x:t>
        </x:is>
      </x:c>
      <x:c r="H4" s="37" t="inlineStr">
        <x:is>
          <x:t xml:space="preserve">Flood Zone</x:t>
        </x:is>
      </x:c>
      <x:c r="I4" s="37" t="inlineStr">
        <x:is>
          <x:t xml:space="preserve">Zoning</x:t>
        </x:is>
      </x:c>
      <x:c r="J4" s="37" t="inlineStr">
        <x:is>
          <x:t xml:space="preserve">Shape</x:t>
        </x:is>
      </x:c>
    </x:row>
    <x:row r="5" s="160" customFormat="1" ht="15" customHeight="1">
      <x:c r="B5" s="56" t="n">
        <x:v>1</x:v>
      </x:c>
      <x:c r="C5" s="56" t="n"/>
      <x:c r="D5" s="56" t="n"/>
      <x:c r="E5" s="57" t="n"/>
      <x:c r="F5" s="57" t="n"/>
      <x:c r="G5" s="57" t="e">
        <x:f>E5/F5</x:f>
        <x:v>#DIV/0!</x:v>
      </x:c>
      <x:c r="H5" s="57" t="n"/>
      <x:c r="I5" s="57" t="n"/>
      <x:c r="J5" s="57" t="n"/>
    </x:row>
    <x:row r="6" s="160" customFormat="1" ht="15" customHeight="1">
      <x:c r="B6" s="58" t="n">
        <x:v>2</x:v>
      </x:c>
      <x:c r="C6" s="58" t="n"/>
      <x:c r="D6" s="58" t="n"/>
      <x:c r="E6" s="59" t="n"/>
      <x:c r="F6" s="59" t="n"/>
      <x:c r="G6" s="59" t="e">
        <x:f>E6/F6</x:f>
        <x:v>#DIV/0!</x:v>
      </x:c>
      <x:c r="H6" s="59" t="n"/>
      <x:c r="I6" s="59" t="n"/>
      <x:c r="J6" s="59" t="n"/>
    </x:row>
    <x:row r="7" s="160" customFormat="1" ht="15" customHeight="1">
      <x:c r="B7" s="56" t="n">
        <x:v>3</x:v>
      </x:c>
      <x:c r="C7" s="56" t="n"/>
      <x:c r="D7" s="56" t="n"/>
      <x:c r="E7" s="57" t="n"/>
      <x:c r="F7" s="57" t="n"/>
      <x:c r="G7" s="57" t="e">
        <x:f>E7/F7</x:f>
        <x:v>#DIV/0!</x:v>
      </x:c>
      <x:c r="H7" s="57" t="n"/>
      <x:c r="I7" s="57" t="n"/>
      <x:c r="J7" s="57" t="n"/>
    </x:row>
    <x:row r="8" s="160" customFormat="1" ht="15" customHeight="1">
      <x:c r="B8" s="58" t="n">
        <x:v>4</x:v>
      </x:c>
      <x:c r="C8" s="58" t="n"/>
      <x:c r="D8" s="58" t="n"/>
      <x:c r="E8" s="59" t="n"/>
      <x:c r="F8" s="59" t="n"/>
      <x:c r="G8" s="59" t="e">
        <x:f>E8/F8</x:f>
        <x:v>#DIV/0!</x:v>
      </x:c>
      <x:c r="H8" s="59" t="n"/>
      <x:c r="I8" s="59" t="n"/>
      <x:c r="J8" s="59" t="n"/>
    </x:row>
    <x:row r="9" s="160" customFormat="1" ht="15" customHeight="1">
      <x:c r="B9" s="56" t="n">
        <x:v>5</x:v>
      </x:c>
      <x:c r="C9" s="56" t="n"/>
      <x:c r="D9" s="56" t="n"/>
      <x:c r="E9" s="57" t="n"/>
      <x:c r="F9" s="57" t="n"/>
      <x:c r="G9" s="57" t="e">
        <x:f>E9/F9</x:f>
        <x:v>#DIV/0!</x:v>
      </x:c>
      <x:c r="H9" s="57" t="n"/>
      <x:c r="I9" s="57" t="n"/>
      <x:c r="J9" s="57" t="n"/>
    </x:row>
    <x:row r="10" s="160" customFormat="1" ht="16.049999237060547" customHeight="1">
      <x:c r="B10" s="60" t="inlineStr">
        <x:is>
          <x:t xml:space="preserve">MEAN</x:t>
        </x:is>
      </x:c>
      <x:c r="C10" s="61" t="n"/>
      <x:c r="D10" s="61" t="n"/>
      <x:c r="E10" s="61" t="e">
        <x:f>AVERAGE(E5:E9)</x:f>
        <x:v>#DIV/0!</x:v>
      </x:c>
      <x:c r="F10" s="61" t="e">
        <x:f>AVERAGE(F5:F9)</x:f>
        <x:v>#DIV/0!</x:v>
      </x:c>
      <x:c r="G10" s="61" t="e">
        <x:f>AVERAGE(G5:G9)</x:f>
        <x:v>#VALUE!</x:v>
      </x:c>
      <x:c r="H10" s="61" t="n"/>
      <x:c r="I10" s="61" t="n"/>
      <x:c r="J10" s="61" t="n"/>
    </x:row>
    <x:row r="11" s="160" customFormat="1" ht="15" customHeight="1">
      <x:c r="B11" s="62" t="inlineStr">
        <x:is>
          <x:t xml:space="preserve">SUBJECT</x:t>
        </x:is>
      </x:c>
      <x:c r="C11" s="63" t="n"/>
      <x:c r="D11" s="63" t="n"/>
      <x:c r="E11" s="63" t="n"/>
      <x:c r="F11" s="64" t="n"/>
      <x:c r="G11" s="64" t="n"/>
      <x:c r="H11" s="64" t="n"/>
      <x:c r="I11" s="64" t="n"/>
      <x:c r="J11" s="64" t="n"/>
    </x:row>
    <x:row r="12" s="160" customFormat="1" ht="6" customHeight="1"/>
    <x:row r="13" s="160" customFormat="1" ht="18" customHeight="1">
      <x:c r="B13" s="204" t="inlineStr">
        <x:is>
          <x:t xml:space="preserve">LAND SALES ADJUSTMENT GRID</x:t>
        </x:is>
      </x:c>
      <x:c r="C13" s="162" t="n"/>
      <x:c r="D13" s="162" t="n"/>
      <x:c r="E13" s="162" t="n"/>
      <x:c r="F13" s="162" t="n"/>
      <x:c r="G13" s="162" t="n"/>
      <x:c r="H13" s="162" t="n"/>
      <x:c r="I13" s="162" t="n"/>
      <x:c r="J13" s="163" t="n"/>
    </x:row>
    <x:row r="14" s="160" customFormat="1" ht="30" customHeight="1">
      <x:c r="B14" s="37" t="inlineStr">
        <x:is>
          <x:t xml:space="preserve">Sale No.</x:t>
        </x:is>
      </x:c>
      <x:c r="C14" s="37" t="inlineStr">
        <x:is>
          <x:t xml:space="preserve">Sale Date</x:t>
        </x:is>
      </x:c>
      <x:c r="D14" s="37" t="inlineStr">
        <x:is>
          <x:t xml:space="preserve">Price/SF</x:t>
        </x:is>
      </x:c>
      <x:c r="E14" s="37" t="inlineStr">
        <x:is>
          <x:t xml:space="preserve">Mkt Cond Adj.</x:t>
        </x:is>
      </x:c>
      <x:c r="F14" s="37" t="inlineStr">
        <x:is>
          <x:t xml:space="preserve">Adj. Price/SF</x:t>
        </x:is>
      </x:c>
      <x:c r="G14" s="37" t="inlineStr">
        <x:is>
          <x:t xml:space="preserve">Size Adj.</x:t>
        </x:is>
      </x:c>
      <x:c r="H14" s="37" t="inlineStr">
        <x:is>
          <x:t xml:space="preserve">Location Adj.</x:t>
        </x:is>
      </x:c>
      <x:c r="I14" s="37" t="inlineStr">
        <x:is>
          <x:t xml:space="preserve">Net Adj.</x:t>
        </x:is>
      </x:c>
      <x:c r="J14" s="37" t="inlineStr">
        <x:is>
          <x:t xml:space="preserve">Indicated $/SF</x:t>
        </x:is>
      </x:c>
    </x:row>
    <x:row r="15" s="160" customFormat="1" ht="15" customHeight="1">
      <x:c r="B15" s="56" t="n">
        <x:v>1</x:v>
      </x:c>
      <x:c r="C15" s="56" t="n"/>
      <x:c r="D15" s="57" t="n"/>
      <x:c r="E15" s="65" t="n"/>
      <x:c r="F15" s="57" t="n">
        <x:f>D15*(1+E15)</x:f>
        <x:v>0</x:v>
      </x:c>
      <x:c r="G15" s="65" t="n"/>
      <x:c r="H15" s="65" t="n"/>
      <x:c r="I15" s="65" t="n"/>
      <x:c r="J15" s="65" t="n">
        <x:f>F15*(1+I15)</x:f>
        <x:v>0</x:v>
      </x:c>
    </x:row>
    <x:row r="16" s="160" customFormat="1" ht="15" customHeight="1">
      <x:c r="B16" s="58" t="n">
        <x:v>2</x:v>
      </x:c>
      <x:c r="C16" s="58" t="n"/>
      <x:c r="D16" s="59" t="n"/>
      <x:c r="E16" s="65" t="n"/>
      <x:c r="F16" s="59" t="n">
        <x:f>D16*(1+E16)</x:f>
        <x:v>0</x:v>
      </x:c>
      <x:c r="G16" s="65" t="n"/>
      <x:c r="H16" s="65" t="n"/>
      <x:c r="I16" s="65" t="n"/>
      <x:c r="J16" s="65" t="n">
        <x:f>F16*(1+I16)</x:f>
        <x:v>0</x:v>
      </x:c>
    </x:row>
    <x:row r="17" s="160" customFormat="1" ht="15" customHeight="1">
      <x:c r="B17" s="56" t="n">
        <x:v>3</x:v>
      </x:c>
      <x:c r="C17" s="56" t="n"/>
      <x:c r="D17" s="57" t="n"/>
      <x:c r="E17" s="65" t="n"/>
      <x:c r="F17" s="57" t="n">
        <x:f>D17*(1+E17)</x:f>
        <x:v>0</x:v>
      </x:c>
      <x:c r="G17" s="65" t="n"/>
      <x:c r="H17" s="65" t="n"/>
      <x:c r="I17" s="65" t="n"/>
      <x:c r="J17" s="65" t="n">
        <x:f>F17*(1+I17)</x:f>
        <x:v>0</x:v>
      </x:c>
    </x:row>
    <x:row r="18" s="160" customFormat="1" ht="15" customHeight="1">
      <x:c r="B18" s="58" t="n">
        <x:v>4</x:v>
      </x:c>
      <x:c r="C18" s="58" t="n"/>
      <x:c r="D18" s="59" t="n"/>
      <x:c r="E18" s="65" t="n"/>
      <x:c r="F18" s="59" t="n">
        <x:f>D18*(1+E18)</x:f>
        <x:v>0</x:v>
      </x:c>
      <x:c r="G18" s="65" t="n"/>
      <x:c r="H18" s="65" t="n"/>
      <x:c r="I18" s="65" t="n"/>
      <x:c r="J18" s="65" t="n">
        <x:f>F18*(1+I18)</x:f>
        <x:v>0</x:v>
      </x:c>
    </x:row>
    <x:row r="19" s="160" customFormat="1" ht="15" customHeight="1">
      <x:c r="B19" s="56" t="n">
        <x:v>5</x:v>
      </x:c>
      <x:c r="C19" s="56" t="n"/>
      <x:c r="D19" s="57" t="n"/>
      <x:c r="E19" s="65" t="n"/>
      <x:c r="F19" s="57" t="n">
        <x:f>D19*(1+E19)</x:f>
        <x:v>0</x:v>
      </x:c>
      <x:c r="G19" s="65" t="n"/>
      <x:c r="H19" s="65" t="n"/>
      <x:c r="I19" s="65" t="n"/>
      <x:c r="J19" s="65" t="n">
        <x:f>F19*(1+I19)</x:f>
        <x:v>0</x:v>
      </x:c>
    </x:row>
    <x:row r="20" s="160" customFormat="1" ht="16.049999237060547" customHeight="1">
      <x:c r="B20" s="60" t="inlineStr">
        <x:is>
          <x:t xml:space="preserve">MEAN</x:t>
        </x:is>
      </x:c>
      <x:c r="C20" s="61" t="n"/>
      <x:c r="D20" s="61" t="e">
        <x:f>AVERAGE(D15:D19)</x:f>
        <x:v>#DIV/0!</x:v>
      </x:c>
      <x:c r="E20" s="61" t="n"/>
      <x:c r="F20" s="61" t="n">
        <x:f>AVERAGE(F15:F19)</x:f>
        <x:v>0</x:v>
      </x:c>
      <x:c r="G20" s="61" t="n"/>
      <x:c r="H20" s="61" t="n"/>
      <x:c r="I20" s="61" t="n"/>
      <x:c r="J20" s="61" t="n">
        <x:f>AVERAGE(J15:J19)</x:f>
        <x:v>0</x:v>
      </x:c>
    </x:row>
    <x:row r="21" s="160" customFormat="1" ht="6" customHeight="1"/>
    <x:row r="22" s="160" customFormat="1" ht="18" customHeight="1">
      <x:c r="B22" s="204" t="inlineStr">
        <x:is>
          <x:t xml:space="preserve">LAND VALUE CONCLUSION</x:t>
        </x:is>
      </x:c>
      <x:c r="C22" s="162" t="n"/>
      <x:c r="D22" s="162" t="n"/>
      <x:c r="E22" s="162" t="n"/>
      <x:c r="F22" s="162" t="n"/>
      <x:c r="G22" s="162" t="n"/>
      <x:c r="H22" s="162" t="n"/>
      <x:c r="I22" s="162" t="n"/>
      <x:c r="J22" s="163" t="n"/>
    </x:row>
    <x:row r="23" s="160" customFormat="1" ht="28.799999237060547" customHeight="1">
      <x:c r="B23" s="56" t="inlineStr">
        <x:is>
          <x:t xml:space="preserve">Indicated Range ($/SF):</x:t>
        </x:is>
      </x:c>
      <x:c r="C23" s="56" t="n"/>
      <x:c r="D23" s="65" t="n">
        <x:f>MIN(J15:J19)</x:f>
        <x:v>0</x:v>
      </x:c>
      <x:c r="E23" s="57" t="inlineStr">
        <x:is>
          <x:t xml:space="preserve">to</x:t>
        </x:is>
      </x:c>
      <x:c r="F23" s="57" t="n">
        <x:f>MAX(J15:J19)</x:f>
        <x:v>0</x:v>
      </x:c>
      <x:c r="G23" s="57" t="n"/>
      <x:c r="H23" s="57" t="n"/>
      <x:c r="I23" s="57" t="n"/>
      <x:c r="J23" s="57" t="n"/>
    </x:row>
    <x:row r="24" s="160" customFormat="1" ht="40.20000076293945" customHeight="1">
      <x:c r="B24" s="58" t="inlineStr">
        <x:is>
          <x:t xml:space="preserve">Concluded Land Value ($/SF):</x:t>
        </x:is>
      </x:c>
      <x:c r="C24" s="58" t="n"/>
      <x:c r="D24" s="65" t="n"/>
      <x:c r="E24" s="59" t="n"/>
      <x:c r="F24" s="59" t="n"/>
      <x:c r="G24" s="59" t="n"/>
      <x:c r="H24" s="59" t="n"/>
      <x:c r="I24" s="59" t="n"/>
      <x:c r="J24" s="59" t="n"/>
    </x:row>
    <x:row r="25" s="160" customFormat="1" ht="15" customHeight="1">
      <x:c r="B25" s="56" t="inlineStr">
        <x:is>
          <x:t xml:space="preserve">Site Area (SF):</x:t>
        </x:is>
      </x:c>
      <x:c r="C25" s="56" t="n"/>
      <x:c r="D25" s="65" t="n"/>
      <x:c r="E25" s="57" t="n"/>
      <x:c r="F25" s="57" t="n"/>
      <x:c r="G25" s="57" t="n"/>
      <x:c r="H25" s="57" t="n"/>
      <x:c r="I25" s="57" t="n"/>
      <x:c r="J25" s="57" t="n"/>
    </x:row>
    <x:row r="26" s="160" customFormat="1" ht="33.599998474121094" customHeight="1">
      <x:c r="B26" s="66" t="inlineStr">
        <x:is>
          <x:t xml:space="preserve">Concluded Land Value:</x:t>
        </x:is>
      </x:c>
      <x:c r="C26" s="66" t="n"/>
      <x:c r="D26" s="67" t="n">
        <x:f>D24*D25</x:f>
        <x:v>0</x:v>
      </x:c>
      <x:c r="E26" s="67" t="n"/>
      <x:c r="F26" s="67" t="n"/>
      <x:c r="G26" s="67" t="n"/>
      <x:c r="H26" s="67" t="n"/>
      <x:c r="I26" s="67" t="n"/>
      <x:c r="J26" s="67" t="n"/>
    </x:row>
    <x:row r="27" s="160" customFormat="1" ht="6" customHeight="1"/>
    <x:row r="28" s="160" customFormat="1" ht="18" customHeight="1">
      <x:c r="B28" s="204" t="inlineStr">
        <x:is>
          <x:t xml:space="preserve">LAND SALES — ADJUSTMENT INPUTS</x:t>
        </x:is>
      </x:c>
      <x:c r="C28" s="162" t="n"/>
      <x:c r="D28" s="162" t="n"/>
      <x:c r="E28" s="162" t="n"/>
      <x:c r="F28" s="162" t="n"/>
      <x:c r="G28" s="162" t="n"/>
      <x:c r="H28" s="162" t="n"/>
      <x:c r="I28" s="162" t="n"/>
      <x:c r="J28" s="163" t="n"/>
    </x:row>
    <x:row r="29" s="160" customFormat="1" ht="28.049999237060547" customHeight="1">
      <x:c r="B29" s="200" t="inlineStr">
        <x:is>
          <x:t xml:space="preserve">Enter adjustment % for each comp (positive = upward, negative = downward, 0 = no adjustment). Notes are optional; used by AI narrative generator.</x:t>
        </x:is>
      </x:c>
      <x:c r="C29" s="162" t="n"/>
      <x:c r="D29" s="162" t="n"/>
      <x:c r="E29" s="162" t="n"/>
      <x:c r="F29" s="162" t="n"/>
      <x:c r="G29" s="162" t="n"/>
      <x:c r="H29" s="162" t="n"/>
      <x:c r="I29" s="162" t="n"/>
      <x:c r="J29" s="163" t="n"/>
    </x:row>
    <x:row r="30" s="160" customFormat="1" ht="37.79999923706055" customHeight="1">
      <x:c r="B30" s="37" t="inlineStr">
        <x:is>
          <x:t xml:space="preserve">Comp No.</x:t>
        </x:is>
      </x:c>
      <x:c r="C30" s="37" t="inlineStr">
        <x:is>
          <x:t xml:space="preserve">Location (auto-ref)</x:t>
        </x:is>
      </x:c>
      <x:c r="D30" s="37" t="inlineStr">
        <x:is>
          <x:t xml:space="preserve">Mkt Cond
Adj %</x:t>
        </x:is>
      </x:c>
      <x:c r="E30" s="37" t="inlineStr">
        <x:is>
          <x:t xml:space="preserve">Mkt Cond
Note</x:t>
        </x:is>
      </x:c>
      <x:c r="F30" s="37" t="inlineStr">
        <x:is>
          <x:t xml:space="preserve">Location
Adj %</x:t>
        </x:is>
      </x:c>
      <x:c r="G30" s="37" t="inlineStr">
        <x:is>
          <x:t xml:space="preserve">Location
Note</x:t>
        </x:is>
      </x:c>
      <x:c r="H30" s="37" t="inlineStr">
        <x:is>
          <x:t xml:space="preserve">Other
Adj %</x:t>
        </x:is>
      </x:c>
      <x:c r="I30" s="37" t="inlineStr">
        <x:is>
          <x:t xml:space="preserve">Other
Note</x:t>
        </x:is>
      </x:c>
      <x:c r="J30" s="37" t="inlineStr">
        <x:is>
          <x:t xml:space="preserve">Dilmore
Size Adj %</x:t>
        </x:is>
      </x:c>
    </x:row>
    <x:row r="31" s="160" customFormat="1" ht="15" customHeight="1">
      <x:c r="B31" s="56" t="n">
        <x:v>1</x:v>
      </x:c>
      <x:c r="C31" s="56" t="inlineStr">
        <x:is>
          <x:t xml:space="preserve">Comp 1 Address</x:t>
        </x:is>
      </x:c>
      <x:c r="D31" s="65" t="n"/>
      <x:c r="E31" s="68" t="n"/>
      <x:c r="F31" s="65" t="n"/>
      <x:c r="G31" s="68" t="n"/>
      <x:c r="H31" s="65" t="n"/>
      <x:c r="I31" s="68" t="n"/>
      <x:c r="J31" s="68" t="str">
        <x:f>IFERROR(size_adj!D6,0)</x:f>
        <x:v>Size Factor</x:v>
      </x:c>
    </x:row>
    <x:row r="32" s="160" customFormat="1" ht="15" customHeight="1">
      <x:c r="B32" s="58" t="n">
        <x:v>2</x:v>
      </x:c>
      <x:c r="C32" s="58" t="inlineStr">
        <x:is>
          <x:t xml:space="preserve">Comp 2 Address</x:t>
        </x:is>
      </x:c>
      <x:c r="D32" s="65" t="n"/>
      <x:c r="E32" s="68" t="n"/>
      <x:c r="F32" s="65" t="n"/>
      <x:c r="G32" s="68" t="n"/>
      <x:c r="H32" s="65" t="n"/>
      <x:c r="I32" s="68" t="n"/>
      <x:c r="J32" s="68" t="str">
        <x:f>IFERROR(size_adj!D7,0)</x:f>
      </x:c>
    </x:row>
    <x:row r="33" s="160" customFormat="1" ht="15" customHeight="1">
      <x:c r="B33" s="56" t="n">
        <x:v>3</x:v>
      </x:c>
      <x:c r="C33" s="56" t="inlineStr">
        <x:is>
          <x:t xml:space="preserve">Comp 3 Address</x:t>
        </x:is>
      </x:c>
      <x:c r="D33" s="65" t="n"/>
      <x:c r="E33" s="68" t="n"/>
      <x:c r="F33" s="65" t="n"/>
      <x:c r="G33" s="68" t="n"/>
      <x:c r="H33" s="65" t="n"/>
      <x:c r="I33" s="68" t="n"/>
      <x:c r="J33" s="68" t="str">
        <x:f>IFERROR(size_adj!D8,0)</x:f>
      </x:c>
    </x:row>
    <x:row r="34" s="160" customFormat="1" ht="15" customHeight="1">
      <x:c r="B34" s="58" t="n">
        <x:v>4</x:v>
      </x:c>
      <x:c r="C34" s="58" t="inlineStr">
        <x:is>
          <x:t xml:space="preserve">Comp 4 Address</x:t>
        </x:is>
      </x:c>
      <x:c r="D34" s="65" t="n"/>
      <x:c r="E34" s="68" t="n"/>
      <x:c r="F34" s="65" t="n"/>
      <x:c r="G34" s="68" t="n"/>
      <x:c r="H34" s="65" t="n"/>
      <x:c r="I34" s="68" t="n"/>
      <x:c r="J34" s="68" t="str">
        <x:f>IFERROR(size_adj!D9,0)</x:f>
      </x:c>
    </x:row>
    <x:row r="35" s="160" customFormat="1" ht="15" customHeight="1">
      <x:c r="B35" s="56" t="n">
        <x:v>5</x:v>
      </x:c>
      <x:c r="C35" s="56" t="inlineStr">
        <x:is>
          <x:t xml:space="preserve">Comp 5 Address</x:t>
        </x:is>
      </x:c>
      <x:c r="D35" s="65" t="n"/>
      <x:c r="E35" s="68" t="n"/>
      <x:c r="F35" s="65" t="n"/>
      <x:c r="G35" s="68" t="n"/>
      <x:c r="H35" s="65" t="n"/>
      <x:c r="I35" s="68" t="n"/>
      <x:c r="J35" s="68" t="str">
        <x:f>IFERROR(size_adj!D10,0)</x:f>
      </x:c>
    </x:row>
    <x:row r="36" s="160" customFormat="1" ht="15" customHeight="1">
      <x:c r="B36" s="58" t="n">
        <x:v>6</x:v>
      </x:c>
      <x:c r="C36" s="58" t="inlineStr">
        <x:is>
          <x:t xml:space="preserve">Comp 6 Address</x:t>
        </x:is>
      </x:c>
      <x:c r="D36" s="65" t="n"/>
      <x:c r="E36" s="68" t="n"/>
      <x:c r="F36" s="65" t="n"/>
      <x:c r="G36" s="68" t="n"/>
      <x:c r="H36" s="65" t="n"/>
      <x:c r="I36" s="68" t="n"/>
      <x:c r="J36" s="68" t="str">
        <x:f>IFERROR(size_adj!D11,0)</x:f>
      </x:c>
    </x:row>
    <x:row r="37" s="160" customFormat="1" ht="15" customHeight="1">
      <x:c r="B37" s="56" t="n">
        <x:v>7</x:v>
      </x:c>
      <x:c r="C37" s="56" t="inlineStr">
        <x:is>
          <x:t xml:space="preserve">Comp 7 Address</x:t>
        </x:is>
      </x:c>
      <x:c r="D37" s="65" t="n"/>
      <x:c r="E37" s="68" t="n"/>
      <x:c r="F37" s="65" t="n"/>
      <x:c r="G37" s="68" t="n"/>
      <x:c r="H37" s="65" t="n"/>
      <x:c r="I37" s="68" t="n"/>
      <x:c r="J37" s="68" t="str">
        <x:f>IFERROR(size_adj!D12,0)</x:f>
      </x:c>
    </x:row>
    <x:row r="38" s="160" customFormat="1" ht="15" customHeight="1">
      <x:c r="B38" s="58" t="n">
        <x:v>8</x:v>
      </x:c>
      <x:c r="C38" s="58" t="inlineStr">
        <x:is>
          <x:t xml:space="preserve">Comp 8 Address</x:t>
        </x:is>
      </x:c>
      <x:c r="D38" s="65" t="n"/>
      <x:c r="E38" s="68" t="n"/>
      <x:c r="F38" s="65" t="n"/>
      <x:c r="G38" s="68" t="n"/>
      <x:c r="H38" s="65" t="n"/>
      <x:c r="I38" s="68" t="n"/>
      <x:c r="J38" s="68" t="str">
        <x:f>IFERROR(size_adj!D13,0)</x:f>
      </x:c>
    </x:row>
    <x:row r="39" s="160" customFormat="1" ht="15" customHeight="1">
      <x:c r="B39" s="56" t="n">
        <x:v>9</x:v>
      </x:c>
      <x:c r="C39" s="56" t="inlineStr">
        <x:is>
          <x:t xml:space="preserve">Comp 9 Address</x:t>
        </x:is>
      </x:c>
      <x:c r="D39" s="65" t="n"/>
      <x:c r="E39" s="68" t="n"/>
      <x:c r="F39" s="65" t="n"/>
      <x:c r="G39" s="68" t="n"/>
      <x:c r="H39" s="65" t="n"/>
      <x:c r="I39" s="68" t="n"/>
      <x:c r="J39" s="68" t="str">
        <x:f>IFERROR(size_adj!D14,0)</x:f>
      </x:c>
    </x:row>
    <x:row r="40" s="160" customFormat="1" ht="15" customHeight="1">
      <x:c r="B40" s="58" t="n">
        <x:v>10</x:v>
      </x:c>
      <x:c r="C40" s="58" t="inlineStr">
        <x:is>
          <x:t xml:space="preserve">Comp 10 Address</x:t>
        </x:is>
      </x:c>
      <x:c r="D40" s="65" t="n"/>
      <x:c r="E40" s="68" t="n"/>
      <x:c r="F40" s="65" t="n"/>
      <x:c r="G40" s="68" t="n"/>
      <x:c r="H40" s="65" t="n"/>
      <x:c r="I40" s="68" t="n"/>
      <x:c r="J40" s="68" t="str">
        <x:f>IFERROR(size_adj!D15,0)</x:f>
      </x:c>
    </x:row>
    <x:row r="41" s="160" customFormat="1" ht="6" customHeight="1"/>
    <x:row r="42" s="160" customFormat="1" ht="13.949999809265137" customHeight="1">
      <x:c r="B42" s="207" t="inlineStr">
        <x:is>
          <x:t xml:space="preserve">Note: Adjustment % should match values in the MARKET CHART adjustment grid. Narrative AI reads these inputs at deliver time.</x:t>
        </x:is>
      </x:c>
      <x:c r="C42" s="162" t="n"/>
      <x:c r="D42" s="162" t="n"/>
      <x:c r="E42" s="162" t="n"/>
      <x:c r="F42" s="162" t="n"/>
      <x:c r="G42" s="162" t="n"/>
      <x:c r="H42" s="162" t="n"/>
      <x:c r="I42" s="162" t="n"/>
      <x:c r="J42" s="163" t="n"/>
    </x:row>
  </x:sheetData>
  <x:mergeCells>
    <x:mergeCell ref="B29:J29"/>
    <x:mergeCell ref="B3:J3"/>
    <x:mergeCell ref="B28:J28"/>
    <x:mergeCell ref="B42:J42"/>
    <x:mergeCell ref="B22:J22"/>
    <x:mergeCell ref="B13:J13"/>
    <x:mergeCell ref="B2:J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3.199999809265137"/>
  <x:cols>
    <x:col min="1" max="1" width="2" style="160" customWidth="1"/>
    <x:col min="2" max="2" width="30" style="160" customWidth="1"/>
    <x:col min="3" max="3" width="14" style="160" customWidth="1"/>
    <x:col min="4" max="4" width="13" style="160" customWidth="1"/>
    <x:col min="5" max="5" width="14" style="160" customWidth="1"/>
    <x:col min="6" max="6" width="11" style="160" customWidth="1"/>
    <x:col min="7" max="7" width="14" style="160" customWidth="1"/>
  </x:cols>
  <x:sheetData>
    <x:row r="1" s="160" customFormat="1" ht="6" customHeight="1"/>
    <x:row r="2" s="160" customFormat="1" ht="18" customHeight="1">
      <x:c r="B2" s="204" t="inlineStr">
        <x:is>
          <x:t xml:space="preserve">COST APPROACH — DEPRECIATION ANALYSIS</x:t>
        </x:is>
      </x:c>
      <x:c r="C2" s="162" t="n"/>
      <x:c r="D2" s="162" t="n"/>
      <x:c r="E2" s="162" t="n"/>
      <x:c r="F2" s="162" t="n"/>
      <x:c r="G2" s="163" t="n"/>
    </x:row>
    <x:row r="3" s="160" customFormat="1" ht="15" customHeight="1">
      <x:c r="B3" s="209" t="n"/>
      <x:c r="C3" s="162" t="n"/>
      <x:c r="D3" s="162" t="n"/>
      <x:c r="E3" s="162" t="n"/>
      <x:c r="F3" s="162" t="n"/>
      <x:c r="G3" s="163" t="n"/>
    </x:row>
    <x:row r="4" s="160" customFormat="1" ht="6" customHeight="1"/>
    <x:row r="5" s="160" customFormat="1" ht="18" customHeight="1">
      <x:c r="B5" s="204" t="inlineStr">
        <x:is>
          <x:t xml:space="preserve">BUILDING REPRODUCTION COST (DIRECT COST)</x:t>
        </x:is>
      </x:c>
      <x:c r="C5" s="162" t="n"/>
      <x:c r="D5" s="162" t="n"/>
      <x:c r="E5" s="162" t="n"/>
      <x:c r="F5" s="162" t="n"/>
      <x:c r="G5" s="163" t="n"/>
    </x:row>
    <x:row r="6" s="160" customFormat="1" ht="16.049999237060547" customHeight="1">
      <x:c r="B6" s="37" t="inlineStr">
        <x:is>
          <x:t xml:space="preserve">Item</x:t>
        </x:is>
      </x:c>
      <x:c r="C6" s="37" t="inlineStr">
        <x:is>
          <x:t xml:space="preserve">Value</x:t>
        </x:is>
      </x:c>
      <x:c r="D6" s="37" t="inlineStr">
        <x:is>
          <x:t xml:space="preserve">Units</x:t>
        </x:is>
      </x:c>
      <x:c r="E6" s="37" t="inlineStr">
        <x:is>
          <x:t xml:space="preserve">Notes</x:t>
        </x:is>
      </x:c>
      <x:c r="F6" s="37" t="n"/>
      <x:c r="G6" s="37" t="n"/>
    </x:row>
    <x:row r="7" s="160" customFormat="1" ht="15" customHeight="1">
      <x:c r="B7" s="56" t="inlineStr">
        <x:is>
          <x:t xml:space="preserve">Base Cost/SF (Marshall &amp; Swift)</x:t>
        </x:is>
      </x:c>
      <x:c r="C7" s="65" t="n"/>
      <x:c r="D7" s="41" t="inlineStr">
        <x:is>
          <x:t xml:space="preserve">$/SF</x:t>
        </x:is>
      </x:c>
      <x:c r="E7" s="56" t="inlineStr">
        <x:is>
          <x:t xml:space="preserve">← Update per cost manual for current year</x:t>
        </x:is>
      </x:c>
      <x:c r="F7" s="56" t="n"/>
      <x:c r="G7" s="56" t="n"/>
    </x:row>
    <x:row r="8" s="160" customFormat="1" ht="15" customHeight="1">
      <x:c r="B8" s="58" t="inlineStr">
        <x:is>
          <x:t xml:space="preserve">GBA (SF)</x:t>
        </x:is>
      </x:c>
      <x:c r="C8" s="65" t="n"/>
      <x:c r="D8" s="44" t="inlineStr">
        <x:is>
          <x:t xml:space="preserve">SF</x:t>
        </x:is>
      </x:c>
      <x:c r="E8" s="58" t="n"/>
      <x:c r="F8" s="58" t="n"/>
      <x:c r="G8" s="58" t="n"/>
    </x:row>
    <x:row r="9" s="160" customFormat="1" ht="15" customHeight="1">
      <x:c r="B9" s="56" t="inlineStr">
        <x:is>
          <x:t xml:space="preserve">Area Size Adjustment</x:t>
        </x:is>
      </x:c>
      <x:c r="C9" s="65" t="n"/>
      <x:c r="D9" s="41" t="inlineStr">
        <x:is>
          <x:t xml:space="preserve">mult.</x:t>
        </x:is>
      </x:c>
      <x:c r="E9" s="56" t="inlineStr">
        <x:is>
          <x:t xml:space="preserve">Applied to base cost</x:t>
        </x:is>
      </x:c>
      <x:c r="F9" s="56" t="n"/>
      <x:c r="G9" s="56" t="n"/>
    </x:row>
    <x:row r="10" s="160" customFormat="1" ht="15" customHeight="1">
      <x:c r="B10" s="58" t="inlineStr">
        <x:is>
          <x:t xml:space="preserve">Time/Local Conditions Adjustment</x:t>
        </x:is>
      </x:c>
      <x:c r="C10" s="65" t="n"/>
      <x:c r="D10" s="44" t="inlineStr">
        <x:is>
          <x:t xml:space="preserve">mult.</x:t>
        </x:is>
      </x:c>
      <x:c r="E10" s="58" t="inlineStr">
        <x:is>
          <x:t xml:space="preserve">Adjust to current/local market</x:t>
        </x:is>
      </x:c>
      <x:c r="F10" s="58" t="n"/>
      <x:c r="G10" s="58" t="n"/>
    </x:row>
    <x:row r="11" s="160" customFormat="1" ht="15" customHeight="1">
      <x:c r="B11" s="69" t="inlineStr">
        <x:is>
          <x:t xml:space="preserve">Building Cost/SF (Adjusted)</x:t>
        </x:is>
      </x:c>
      <x:c r="C11" s="57" t="e">
        <x:f>B7*B9*B10</x:f>
        <x:v>#VALUE!</x:v>
      </x:c>
      <x:c r="D11" s="57" t="inlineStr">
        <x:is>
          <x:t xml:space="preserve">$/SF</x:t>
        </x:is>
      </x:c>
      <x:c r="E11" s="56" t="e">
        <x:f>B7*B9*B10</x:f>
        <x:v>#VALUE!</x:v>
      </x:c>
      <x:c r="F11" s="56" t="n"/>
      <x:c r="G11" s="56" t="n"/>
    </x:row>
    <x:row r="12" s="160" customFormat="1" ht="15" customHeight="1">
      <x:c r="B12" s="70" t="inlineStr">
        <x:is>
          <x:t xml:space="preserve">Total Reproduction Cost (Direct)</x:t>
        </x:is>
      </x:c>
      <x:c r="C12" s="59" t="e">
        <x:f>B8*B11</x:f>
        <x:v>#VALUE!</x:v>
      </x:c>
      <x:c r="D12" s="59" t="inlineStr">
        <x:is>
          <x:t xml:space="preserve">$</x:t>
        </x:is>
      </x:c>
      <x:c r="E12" s="58" t="e">
        <x:f>B7*B8 * all adjustments</x:f>
        <x:v>#NAME?</x:v>
      </x:c>
      <x:c r="F12" s="58" t="n"/>
      <x:c r="G12" s="58" t="n"/>
    </x:row>
    <x:row r="13" s="160" customFormat="1" ht="6" customHeight="1"/>
    <x:row r="14" s="160" customFormat="1" ht="18" customHeight="1">
      <x:c r="B14" s="204" t="inlineStr">
        <x:is>
          <x:t xml:space="preserve">PHYSICAL DETERIORATION — SHORT-LIVED ITEMS</x:t>
        </x:is>
      </x:c>
      <x:c r="C14" s="162" t="n"/>
      <x:c r="D14" s="162" t="n"/>
      <x:c r="E14" s="162" t="n"/>
      <x:c r="F14" s="162" t="n"/>
      <x:c r="G14" s="163" t="n"/>
    </x:row>
    <x:row r="15" s="160" customFormat="1" ht="16.049999237060547" customHeight="1">
      <x:c r="B15" s="37" t="inlineStr">
        <x:is>
          <x:t xml:space="preserve">Component</x:t>
        </x:is>
      </x:c>
      <x:c r="C15" s="37" t="inlineStr">
        <x:is>
          <x:t xml:space="preserve">Cost New</x:t>
        </x:is>
      </x:c>
      <x:c r="D15" s="37" t="inlineStr">
        <x:is>
          <x:t xml:space="preserve">Eff. Age (Yrs)</x:t>
        </x:is>
      </x:c>
      <x:c r="E15" s="37" t="inlineStr">
        <x:is>
          <x:t xml:space="preserve">Typical Life (Yrs)</x:t>
        </x:is>
      </x:c>
      <x:c r="F15" s="37" t="inlineStr">
        <x:is>
          <x:t xml:space="preserve">% Depr.</x:t>
        </x:is>
      </x:c>
      <x:c r="G15" s="37" t="inlineStr">
        <x:is>
          <x:t xml:space="preserve">Value of Depr.</x:t>
        </x:is>
      </x:c>
    </x:row>
    <x:row r="16" s="160" customFormat="1" ht="15" customHeight="1">
      <x:c r="B16" s="56" t="inlineStr">
        <x:is>
          <x:t xml:space="preserve">HVAC</x:t>
        </x:is>
      </x:c>
      <x:c r="C16" s="65" t="n"/>
      <x:c r="D16" s="65" t="n"/>
      <x:c r="E16" s="65" t="n"/>
      <x:c r="F16" s="57" t="e">
        <x:f>D16/E16</x:f>
        <x:v>#DIV/0!</x:v>
      </x:c>
      <x:c r="G16" s="57" t="e">
        <x:f>C16*F16</x:f>
        <x:v>#DIV/0!</x:v>
      </x:c>
    </x:row>
    <x:row r="17" s="160" customFormat="1" ht="15" customHeight="1">
      <x:c r="B17" s="58" t="inlineStr">
        <x:is>
          <x:t xml:space="preserve">Floor Cover</x:t>
        </x:is>
      </x:c>
      <x:c r="C17" s="65" t="n"/>
      <x:c r="D17" s="65" t="n"/>
      <x:c r="E17" s="65" t="n"/>
      <x:c r="F17" s="59" t="e">
        <x:f>D17/E17</x:f>
        <x:v>#DIV/0!</x:v>
      </x:c>
      <x:c r="G17" s="59" t="e">
        <x:f>C17*F17</x:f>
        <x:v>#DIV/0!</x:v>
      </x:c>
    </x:row>
    <x:row r="18" s="160" customFormat="1" ht="15" customHeight="1">
      <x:c r="B18" s="56" t="inlineStr">
        <x:is>
          <x:t xml:space="preserve">Roof Cover</x:t>
        </x:is>
      </x:c>
      <x:c r="C18" s="65" t="n"/>
      <x:c r="D18" s="65" t="n"/>
      <x:c r="E18" s="65" t="n"/>
      <x:c r="F18" s="57" t="e">
        <x:f>D18/E18</x:f>
        <x:v>#DIV/0!</x:v>
      </x:c>
      <x:c r="G18" s="57" t="e">
        <x:f>C18*F18</x:f>
        <x:v>#DIV/0!</x:v>
      </x:c>
    </x:row>
    <x:row r="19" s="160" customFormat="1" ht="15" customHeight="1">
      <x:c r="B19" s="58" t="inlineStr">
        <x:is>
          <x:t xml:space="preserve">Interior Fin.</x:t>
        </x:is>
      </x:c>
      <x:c r="C19" s="65" t="n"/>
      <x:c r="D19" s="65" t="n"/>
      <x:c r="E19" s="65" t="n"/>
      <x:c r="F19" s="59" t="e">
        <x:f>D19/E19</x:f>
        <x:v>#DIV/0!</x:v>
      </x:c>
      <x:c r="G19" s="59" t="e">
        <x:f>C19*F19</x:f>
        <x:v>#DIV/0!</x:v>
      </x:c>
    </x:row>
    <x:row r="20" s="160" customFormat="1" ht="16.049999237060547" customHeight="1">
      <x:c r="B20" s="60" t="inlineStr">
        <x:is>
          <x:t xml:space="preserve">TOTAL SHORT-LIVED ITEMS</x:t>
        </x:is>
      </x:c>
      <x:c r="C20" s="61" t="n">
        <x:f>SUM(C16:C19)</x:f>
        <x:v>0</x:v>
      </x:c>
      <x:c r="D20" s="61" t="n"/>
      <x:c r="E20" s="61" t="n"/>
      <x:c r="F20" s="61" t="n"/>
      <x:c r="G20" s="61" t="e">
        <x:f>SUM(G16:G19)</x:f>
        <x:v>#DIV/0!</x:v>
      </x:c>
    </x:row>
    <x:row r="21" s="160" customFormat="1" ht="6" customHeight="1"/>
    <x:row r="22" s="160" customFormat="1" ht="18" customHeight="1">
      <x:c r="B22" s="204" t="inlineStr">
        <x:is>
          <x:t xml:space="preserve">SITE IMPROVEMENTS (DEPRECIATED SEPARATELY)</x:t>
        </x:is>
      </x:c>
      <x:c r="C22" s="162" t="n"/>
      <x:c r="D22" s="162" t="n"/>
      <x:c r="E22" s="162" t="n"/>
      <x:c r="F22" s="162" t="n"/>
      <x:c r="G22" s="163" t="n"/>
    </x:row>
    <x:row r="23" s="160" customFormat="1" ht="16.049999237060547" customHeight="1">
      <x:c r="B23" s="37" t="inlineStr">
        <x:is>
          <x:t xml:space="preserve">Component</x:t>
        </x:is>
      </x:c>
      <x:c r="C23" s="37" t="inlineStr">
        <x:is>
          <x:t xml:space="preserve">Cost New</x:t>
        </x:is>
      </x:c>
      <x:c r="D23" s="37" t="inlineStr">
        <x:is>
          <x:t xml:space="preserve">Eff. Age (Yrs)</x:t>
        </x:is>
      </x:c>
      <x:c r="E23" s="37" t="inlineStr">
        <x:is>
          <x:t xml:space="preserve">Typical Life (Yrs)</x:t>
        </x:is>
      </x:c>
      <x:c r="F23" s="37" t="inlineStr">
        <x:is>
          <x:t xml:space="preserve">% Depr.</x:t>
        </x:is>
      </x:c>
      <x:c r="G23" s="37" t="inlineStr">
        <x:is>
          <x:t xml:space="preserve">Value of Depr.</x:t>
        </x:is>
      </x:c>
    </x:row>
    <x:row r="24" s="160" customFormat="1" ht="15" customHeight="1">
      <x:c r="B24" s="56" t="inlineStr">
        <x:is>
          <x:t xml:space="preserve">Landscaping / Retaining Wall</x:t>
        </x:is>
      </x:c>
      <x:c r="C24" s="65" t="n"/>
      <x:c r="D24" s="65" t="n"/>
      <x:c r="E24" s="65" t="n"/>
      <x:c r="F24" s="57" t="e">
        <x:f>D24/E24</x:f>
        <x:v>#DIV/0!</x:v>
      </x:c>
      <x:c r="G24" s="57" t="e">
        <x:f>C24*F24</x:f>
        <x:v>#DIV/0!</x:v>
      </x:c>
    </x:row>
    <x:row r="25" s="160" customFormat="1" ht="15" customHeight="1">
      <x:c r="B25" s="58" t="inlineStr">
        <x:is>
          <x:t xml:space="preserve">Signage / Lighting</x:t>
        </x:is>
      </x:c>
      <x:c r="C25" s="65" t="n"/>
      <x:c r="D25" s="65" t="n"/>
      <x:c r="E25" s="65" t="n"/>
      <x:c r="F25" s="59" t="e">
        <x:f>D25/E25</x:f>
        <x:v>#DIV/0!</x:v>
      </x:c>
      <x:c r="G25" s="59" t="e">
        <x:f>C25*F25</x:f>
        <x:v>#DIV/0!</x:v>
      </x:c>
    </x:row>
    <x:row r="26" s="160" customFormat="1" ht="15" customHeight="1">
      <x:c r="B26" s="56" t="inlineStr">
        <x:is>
          <x:t xml:space="preserve">Paving / Curbing</x:t>
        </x:is>
      </x:c>
      <x:c r="C26" s="65" t="n"/>
      <x:c r="D26" s="65" t="n"/>
      <x:c r="E26" s="65" t="n"/>
      <x:c r="F26" s="57" t="e">
        <x:f>D26/E26</x:f>
        <x:v>#DIV/0!</x:v>
      </x:c>
      <x:c r="G26" s="57" t="e">
        <x:f>C26*F26</x:f>
        <x:v>#DIV/0!</x:v>
      </x:c>
    </x:row>
    <x:row r="27" s="160" customFormat="1" ht="15" customHeight="1">
      <x:c r="B27" s="58" t="inlineStr">
        <x:is>
          <x:t xml:space="preserve">Site Work / Utilities</x:t>
        </x:is>
      </x:c>
      <x:c r="C27" s="65" t="n"/>
      <x:c r="D27" s="65" t="n"/>
      <x:c r="E27" s="65" t="n"/>
      <x:c r="F27" s="59" t="e">
        <x:f>D27/E27</x:f>
        <x:v>#DIV/0!</x:v>
      </x:c>
      <x:c r="G27" s="59" t="e">
        <x:f>C27*F27</x:f>
        <x:v>#DIV/0!</x:v>
      </x:c>
    </x:row>
    <x:row r="28" s="160" customFormat="1" ht="16.049999237060547" customHeight="1">
      <x:c r="B28" s="60" t="inlineStr">
        <x:is>
          <x:t xml:space="preserve">TOTAL SITE IMPROVEMENTS</x:t>
        </x:is>
      </x:c>
      <x:c r="C28" s="61" t="n">
        <x:f>SUM(C24:C27)</x:f>
        <x:v>0</x:v>
      </x:c>
      <x:c r="D28" s="61" t="n"/>
      <x:c r="E28" s="61" t="n"/>
      <x:c r="F28" s="61" t="n"/>
      <x:c r="G28" s="61" t="e">
        <x:f>SUM(G24:G27)</x:f>
        <x:v>#DIV/0!</x:v>
      </x:c>
    </x:row>
    <x:row r="29" s="160" customFormat="1" ht="6" customHeight="1"/>
    <x:row r="30" s="160" customFormat="1" ht="18" customHeight="1">
      <x:c r="B30" s="204" t="inlineStr">
        <x:is>
          <x:t xml:space="preserve">PHYSICAL DETERIORATION — LONG-LIVED ITEMS (AGE-LIFE METHOD)</x:t>
        </x:is>
      </x:c>
      <x:c r="C30" s="162" t="n"/>
      <x:c r="D30" s="162" t="n"/>
      <x:c r="E30" s="162" t="n"/>
      <x:c r="F30" s="162" t="n"/>
      <x:c r="G30" s="163" t="n"/>
    </x:row>
    <x:row r="31" s="160" customFormat="1" ht="16.049999237060547" customHeight="1">
      <x:c r="B31" s="37" t="inlineStr">
        <x:is>
          <x:t xml:space="preserve">Item</x:t>
        </x:is>
      </x:c>
      <x:c r="C31" s="37" t="inlineStr">
        <x:is>
          <x:t xml:space="preserve">Value</x:t>
        </x:is>
      </x:c>
      <x:c r="D31" s="37" t="n"/>
      <x:c r="E31" s="37" t="n"/>
      <x:c r="F31" s="37" t="n"/>
      <x:c r="G31" s="37" t="n"/>
    </x:row>
    <x:row r="32" s="160" customFormat="1" ht="15" customHeight="1">
      <x:c r="B32" s="56" t="inlineStr">
        <x:is>
          <x:t xml:space="preserve">Total Reproduction Cost (Direct)</x:t>
        </x:is>
      </x:c>
      <x:c r="C32" s="57" t="e">
        <x:f>cost!C12</x:f>
        <x:v>#VALUE!</x:v>
      </x:c>
      <x:c r="D32" s="56" t="n"/>
      <x:c r="E32" s="56" t="n"/>
      <x:c r="F32" s="56" t="n"/>
      <x:c r="G32" s="56" t="n"/>
    </x:row>
    <x:row r="33" s="160" customFormat="1" ht="15" customHeight="1">
      <x:c r="B33" s="58" t="inlineStr">
        <x:is>
          <x:t xml:space="preserve">Less: Short-Lived Items (Cost New)</x:t>
        </x:is>
      </x:c>
      <x:c r="C33" s="59" t="n">
        <x:f>C20</x:f>
        <x:v>0</x:v>
      </x:c>
      <x:c r="D33" s="58" t="n"/>
      <x:c r="E33" s="58" t="n"/>
      <x:c r="F33" s="58" t="n"/>
      <x:c r="G33" s="58" t="n"/>
    </x:row>
    <x:row r="34" s="160" customFormat="1" ht="15" customHeight="1">
      <x:c r="B34" s="56" t="inlineStr">
        <x:is>
          <x:t xml:space="preserve">Long-Lived Items Cost</x:t>
        </x:is>
      </x:c>
      <x:c r="C34" s="57" t="e">
        <x:f>C32-C33</x:f>
        <x:v>#VALUE!</x:v>
      </x:c>
      <x:c r="D34" s="56" t="n"/>
      <x:c r="E34" s="56" t="n"/>
      <x:c r="F34" s="56" t="n"/>
      <x:c r="G34" s="56" t="n"/>
    </x:row>
    <x:row r="35" s="160" customFormat="1" ht="15" customHeight="1">
      <x:c r="B35" s="58" t="inlineStr">
        <x:is>
          <x:t xml:space="preserve">Effective Age (years)</x:t>
        </x:is>
      </x:c>
      <x:c r="C35" s="65" t="inlineStr">
        <x:is>
          <x:t xml:space="preserve">← Appraiser judgment</x:t>
        </x:is>
      </x:c>
      <x:c r="D35" s="58" t="n"/>
      <x:c r="E35" s="58" t="n"/>
      <x:c r="F35" s="58" t="n"/>
      <x:c r="G35" s="58" t="n"/>
    </x:row>
    <x:row r="36" s="160" customFormat="1" ht="15" customHeight="1">
      <x:c r="B36" s="56" t="inlineStr">
        <x:is>
          <x:t xml:space="preserve">Total Economic Life (years)</x:t>
        </x:is>
      </x:c>
      <x:c r="C36" s="65" t="n"/>
      <x:c r="D36" s="56" t="n"/>
      <x:c r="E36" s="56" t="n"/>
      <x:c r="F36" s="56" t="n"/>
      <x:c r="G36" s="56" t="n"/>
    </x:row>
    <x:row r="37" s="160" customFormat="1" ht="15" customHeight="1">
      <x:c r="B37" s="58" t="inlineStr">
        <x:is>
          <x:t xml:space="preserve">Depreciation Rate (EA / EL)</x:t>
        </x:is>
      </x:c>
      <x:c r="C37" s="59" t="e">
        <x:f>C35/C36</x:f>
        <x:v>#VALUE!</x:v>
      </x:c>
      <x:c r="D37" s="58" t="n"/>
      <x:c r="E37" s="58" t="n"/>
      <x:c r="F37" s="58" t="n"/>
      <x:c r="G37" s="58" t="n"/>
    </x:row>
    <x:row r="38" s="160" customFormat="1" ht="15" customHeight="1">
      <x:c r="B38" s="56" t="inlineStr">
        <x:is>
          <x:t xml:space="preserve">Long-Lived Depreciation</x:t>
        </x:is>
      </x:c>
      <x:c r="C38" s="57" t="e">
        <x:f>C34*C37</x:f>
        <x:v>#VALUE!</x:v>
      </x:c>
      <x:c r="D38" s="56" t="n"/>
      <x:c r="E38" s="56" t="n"/>
      <x:c r="F38" s="56" t="n"/>
      <x:c r="G38" s="56" t="n"/>
    </x:row>
    <x:row r="39" s="160" customFormat="1" ht="6" customHeight="1"/>
    <x:row r="40" s="160" customFormat="1" ht="18" customHeight="1">
      <x:c r="B40" s="204" t="inlineStr">
        <x:is>
          <x:t xml:space="preserve">COST APPROACH — VALUE SUMMARY</x:t>
        </x:is>
      </x:c>
      <x:c r="C40" s="162" t="n"/>
      <x:c r="D40" s="162" t="n"/>
      <x:c r="E40" s="162" t="n"/>
      <x:c r="F40" s="162" t="n"/>
      <x:c r="G40" s="163" t="n"/>
    </x:row>
    <x:row r="41" s="160" customFormat="1" ht="13.949999809265137" customHeight="1">
      <x:c r="B41" s="200" t="inlineStr">
        <x:is>
          <x:t xml:space="preserve">Values reference cost_approach and land_sales tabs. Change inputs there.</x:t>
        </x:is>
      </x:c>
      <x:c r="C41" s="162" t="n"/>
      <x:c r="D41" s="162" t="n"/>
      <x:c r="E41" s="162" t="n"/>
      <x:c r="F41" s="162" t="n"/>
      <x:c r="G41" s="163" t="n"/>
    </x:row>
    <x:row r="42" s="160" customFormat="1" ht="6" customHeight="1"/>
    <x:row r="43" s="160" customFormat="1" ht="16.049999237060547" customHeight="1">
      <x:c r="B43" s="37" t="inlineStr">
        <x:is>
          <x:t xml:space="preserve">Item</x:t>
        </x:is>
      </x:c>
      <x:c r="C43" s="37" t="inlineStr">
        <x:is>
          <x:t xml:space="preserve">Amount</x:t>
        </x:is>
      </x:c>
      <x:c r="D43" s="37" t="n"/>
      <x:c r="E43" s="37" t="n"/>
      <x:c r="F43" s="37" t="n"/>
      <x:c r="G43" s="37" t="n"/>
    </x:row>
    <x:row r="44" s="160" customFormat="1" ht="15" customHeight="1">
      <x:c r="B44" s="62" t="inlineStr">
        <x:is>
          <x:t xml:space="preserve">LAND VALUE</x:t>
        </x:is>
      </x:c>
      <x:c r="C44" s="62" t="n"/>
      <x:c r="D44" s="62" t="n"/>
      <x:c r="E44" s="62" t="n"/>
      <x:c r="F44" s="62" t="n"/>
      <x:c r="G44" s="62" t="n"/>
    </x:row>
    <x:row r="45" s="160" customFormat="1" ht="15" customHeight="1">
      <x:c r="B45" s="58" t="inlineStr">
        <x:is>
          <x:t xml:space="preserve">Concluded Land Value (from land_sales tab)</x:t>
        </x:is>
      </x:c>
      <x:c r="C45" s="59" t="n">
        <x:f>land!D26</x:f>
        <x:v>0</x:v>
      </x:c>
      <x:c r="D45" s="58" t="n"/>
      <x:c r="E45" s="58" t="n"/>
      <x:c r="F45" s="58" t="n"/>
      <x:c r="G45" s="58" t="n"/>
    </x:row>
    <x:row r="46" s="160" customFormat="1" ht="15" customHeight="1">
      <x:c r="B46" s="56" t="n"/>
      <x:c r="C46" s="57" t="n"/>
      <x:c r="D46" s="56" t="n"/>
      <x:c r="E46" s="56" t="n"/>
      <x:c r="F46" s="56" t="n"/>
      <x:c r="G46" s="56" t="n"/>
    </x:row>
    <x:row r="47" s="160" customFormat="1" ht="15" customHeight="1">
      <x:c r="B47" s="62" t="inlineStr">
        <x:is>
          <x:t xml:space="preserve">IMPROVEMENTS — REPRODUCTION COST</x:t>
        </x:is>
      </x:c>
      <x:c r="C47" s="62" t="n"/>
      <x:c r="D47" s="62" t="n"/>
      <x:c r="E47" s="62" t="n"/>
      <x:c r="F47" s="62" t="n"/>
      <x:c r="G47" s="62" t="n"/>
    </x:row>
    <x:row r="48" s="160" customFormat="1" ht="15" customHeight="1">
      <x:c r="B48" s="56" t="inlineStr">
        <x:is>
          <x:t xml:space="preserve">Total Reproduction Cost (Direct)</x:t>
        </x:is>
      </x:c>
      <x:c r="C48" s="57" t="e">
        <x:f>cost!C12</x:f>
        <x:v>#VALUE!</x:v>
      </x:c>
      <x:c r="D48" s="56" t="n"/>
      <x:c r="E48" s="56" t="n"/>
      <x:c r="F48" s="56" t="n"/>
      <x:c r="G48" s="56" t="n"/>
    </x:row>
    <x:row r="49" s="160" customFormat="1" ht="15" customHeight="1">
      <x:c r="B49" s="62" t="inlineStr">
        <x:is>
          <x:t xml:space="preserve">LESS: DEPRECIATION</x:t>
        </x:is>
      </x:c>
      <x:c r="C49" s="62" t="n"/>
      <x:c r="D49" s="62" t="n"/>
      <x:c r="E49" s="62" t="n"/>
      <x:c r="F49" s="62" t="n"/>
      <x:c r="G49" s="62" t="n"/>
    </x:row>
    <x:row r="50" s="160" customFormat="1" ht="15" customHeight="1">
      <x:c r="B50" s="56" t="inlineStr">
        <x:is>
          <x:t xml:space="preserve">      Physical — Curable (Deferred Maintenance)</x:t>
        </x:is>
      </x:c>
      <x:c r="C50" s="57" t="n"/>
      <x:c r="D50" s="56" t="n"/>
      <x:c r="E50" s="56" t="n"/>
      <x:c r="F50" s="56" t="n"/>
      <x:c r="G50" s="56" t="n"/>
    </x:row>
    <x:row r="51" s="160" customFormat="1" ht="15" customHeight="1">
      <x:c r="B51" s="58" t="inlineStr">
        <x:is>
          <x:t xml:space="preserve">      Physical — Incurable (Short-Lived Items)</x:t>
        </x:is>
      </x:c>
      <x:c r="C51" s="59" t="e">
        <x:f>cost!G20</x:f>
        <x:v>#DIV/0!</x:v>
      </x:c>
      <x:c r="D51" s="58" t="n"/>
      <x:c r="E51" s="58" t="n"/>
      <x:c r="F51" s="58" t="n"/>
      <x:c r="G51" s="58" t="n"/>
    </x:row>
    <x:row r="52" s="160" customFormat="1" ht="15" customHeight="1">
      <x:c r="B52" s="56" t="inlineStr">
        <x:is>
          <x:t xml:space="preserve">      Physical — Incurable (Long-Lived Items)</x:t>
        </x:is>
      </x:c>
      <x:c r="C52" s="57" t="e">
        <x:f>cost!C38</x:f>
        <x:v>#VALUE!</x:v>
      </x:c>
      <x:c r="D52" s="56" t="n"/>
      <x:c r="E52" s="56" t="n"/>
      <x:c r="F52" s="56" t="n"/>
      <x:c r="G52" s="56" t="n"/>
    </x:row>
    <x:row r="53" s="160" customFormat="1" ht="15" customHeight="1">
      <x:c r="B53" s="58" t="inlineStr">
        <x:is>
          <x:t xml:space="preserve">      Functional Obsolescence</x:t>
        </x:is>
      </x:c>
      <x:c r="C53" s="59" t="n"/>
      <x:c r="D53" s="58" t="n"/>
      <x:c r="E53" s="58" t="n"/>
      <x:c r="F53" s="58" t="n"/>
      <x:c r="G53" s="58" t="n"/>
    </x:row>
    <x:row r="54" s="160" customFormat="1" ht="15" customHeight="1">
      <x:c r="B54" s="56" t="inlineStr">
        <x:is>
          <x:t xml:space="preserve">      External Obsolescence</x:t>
        </x:is>
      </x:c>
      <x:c r="C54" s="57" t="n"/>
      <x:c r="D54" s="56" t="n"/>
      <x:c r="E54" s="56" t="n"/>
      <x:c r="F54" s="56" t="n"/>
      <x:c r="G54" s="56" t="n"/>
    </x:row>
    <x:row r="55" s="160" customFormat="1" ht="16.049999237060547" customHeight="1">
      <x:c r="B55" s="60" t="inlineStr">
        <x:is>
          <x:t xml:space="preserve">Total Depreciation</x:t>
        </x:is>
      </x:c>
      <x:c r="C55" s="61" t="e">
        <x:f>SUM(C50:C54)</x:f>
        <x:v>#DIV/0!</x:v>
      </x:c>
      <x:c r="D55" s="61" t="n"/>
      <x:c r="E55" s="61" t="n"/>
      <x:c r="F55" s="61" t="n"/>
      <x:c r="G55" s="61" t="n"/>
    </x:row>
    <x:row r="56" s="160" customFormat="1" ht="15" customHeight="1">
      <x:c r="B56" s="56" t="inlineStr">
        <x:is>
          <x:t xml:space="preserve">Depreciated Building Cost</x:t>
        </x:is>
      </x:c>
      <x:c r="C56" s="57" t="e">
        <x:f>C48-C55</x:f>
        <x:v>#VALUE!</x:v>
      </x:c>
      <x:c r="D56" s="56" t="n"/>
      <x:c r="E56" s="56" t="n"/>
      <x:c r="F56" s="56" t="n"/>
      <x:c r="G56" s="56" t="n"/>
    </x:row>
    <x:row r="57" s="160" customFormat="1" ht="6" customHeight="1"/>
    <x:row r="58" s="160" customFormat="1" ht="15" customHeight="1">
      <x:c r="B58" s="62" t="inlineStr">
        <x:is>
          <x:t xml:space="preserve">SITE IMPROVEMENTS</x:t>
        </x:is>
      </x:c>
      <x:c r="C58" s="62" t="n"/>
      <x:c r="D58" s="62" t="n"/>
      <x:c r="E58" s="62" t="n"/>
      <x:c r="F58" s="62" t="n"/>
      <x:c r="G58" s="62" t="n"/>
    </x:row>
    <x:row r="59" s="160" customFormat="1" ht="15" customHeight="1">
      <x:c r="B59" s="58" t="inlineStr">
        <x:is>
          <x:t xml:space="preserve">Site Improvements (Cost New)</x:t>
        </x:is>
      </x:c>
      <x:c r="C59" s="59" t="n">
        <x:f>cost!C28</x:f>
        <x:v>0</x:v>
      </x:c>
      <x:c r="D59" s="58" t="n"/>
      <x:c r="E59" s="58" t="n"/>
      <x:c r="F59" s="58" t="n"/>
      <x:c r="G59" s="58" t="n"/>
    </x:row>
    <x:row r="60" s="160" customFormat="1" ht="15" customHeight="1">
      <x:c r="B60" s="56" t="inlineStr">
        <x:is>
          <x:t xml:space="preserve">Less: Depreciation of Site Improvements</x:t>
        </x:is>
      </x:c>
      <x:c r="C60" s="57" t="e">
        <x:f>cost!G28</x:f>
        <x:v>#DIV/0!</x:v>
      </x:c>
      <x:c r="D60" s="56" t="n"/>
      <x:c r="E60" s="56" t="n"/>
      <x:c r="F60" s="56" t="n"/>
      <x:c r="G60" s="56" t="n"/>
    </x:row>
    <x:row r="61" s="160" customFormat="1" ht="16.049999237060547" customHeight="1">
      <x:c r="B61" s="60" t="inlineStr">
        <x:is>
          <x:t xml:space="preserve">Depreciated Site Improvements</x:t>
        </x:is>
      </x:c>
      <x:c r="C61" s="61" t="e">
        <x:f>C59-C60</x:f>
        <x:v>#DIV/0!</x:v>
      </x:c>
      <x:c r="D61" s="61" t="n"/>
      <x:c r="E61" s="61" t="n"/>
      <x:c r="F61" s="61" t="n"/>
      <x:c r="G61" s="61" t="n"/>
    </x:row>
    <x:row r="62" s="160" customFormat="1" ht="6" customHeight="1"/>
    <x:row r="63" s="160" customFormat="1" ht="15" customHeight="1">
      <x:c r="B63" s="62" t="inlineStr">
        <x:is>
          <x:t xml:space="preserve">INDICATED VALUE VIA COST APPROACH</x:t>
        </x:is>
      </x:c>
      <x:c r="C63" s="62" t="n"/>
      <x:c r="D63" s="62" t="n"/>
      <x:c r="E63" s="62" t="n"/>
      <x:c r="F63" s="62" t="n"/>
      <x:c r="G63" s="62" t="n"/>
    </x:row>
    <x:row r="64" s="160" customFormat="1" ht="15" customHeight="1">
      <x:c r="B64" s="56" t="inlineStr">
        <x:is>
          <x:t xml:space="preserve">Land Value</x:t>
        </x:is>
      </x:c>
      <x:c r="C64" s="57" t="n">
        <x:f>C45</x:f>
        <x:v>0</x:v>
      </x:c>
      <x:c r="D64" s="56" t="n"/>
      <x:c r="E64" s="56" t="n"/>
      <x:c r="F64" s="56" t="n"/>
      <x:c r="G64" s="56" t="n"/>
    </x:row>
    <x:row r="65" s="160" customFormat="1" ht="15" customHeight="1">
      <x:c r="B65" s="58" t="inlineStr">
        <x:is>
          <x:t xml:space="preserve">Depreciated Building Cost</x:t>
        </x:is>
      </x:c>
      <x:c r="C65" s="59" t="e">
        <x:f>C56</x:f>
        <x:v>#VALUE!</x:v>
      </x:c>
      <x:c r="D65" s="58" t="n"/>
      <x:c r="E65" s="58" t="n"/>
      <x:c r="F65" s="58" t="n"/>
      <x:c r="G65" s="58" t="n"/>
    </x:row>
    <x:row r="66" s="160" customFormat="1" ht="15" customHeight="1">
      <x:c r="B66" s="56" t="inlineStr">
        <x:is>
          <x:t xml:space="preserve">Depreciated Site Improvements</x:t>
        </x:is>
      </x:c>
      <x:c r="C66" s="57" t="e">
        <x:f>C61</x:f>
        <x:v>#DIV/0!</x:v>
      </x:c>
      <x:c r="D66" s="56" t="n"/>
      <x:c r="E66" s="56" t="n"/>
      <x:c r="F66" s="56" t="n"/>
      <x:c r="G66" s="56" t="n"/>
    </x:row>
    <x:row r="67" s="160" customFormat="1" ht="15" customHeight="1">
      <x:c r="B67" s="58" t="inlineStr">
        <x:is>
          <x:t xml:space="preserve">Total Indicated Value</x:t>
        </x:is>
      </x:c>
      <x:c r="C67" s="59" t="e">
        <x:f>C64+C65+C66</x:f>
        <x:v>#VALUE!</x:v>
      </x:c>
      <x:c r="D67" s="58" t="n"/>
      <x:c r="E67" s="58" t="n"/>
      <x:c r="F67" s="58" t="n"/>
      <x:c r="G67" s="58" t="n"/>
    </x:row>
    <x:row r="68" s="160" customFormat="1" ht="18" customHeight="1">
      <x:c r="B68" s="71" t="inlineStr">
        <x:is>
          <x:t xml:space="preserve">Rounded Value Indication (Cost Approach)</x:t>
        </x:is>
      </x:c>
      <x:c r="C68" s="72" t="e">
        <x:f>ROUND(C67/25000,0)*25000</x:f>
        <x:v>#VALUE!</x:v>
      </x:c>
      <x:c r="D68" s="73" t="n"/>
      <x:c r="E68" s="73" t="n"/>
      <x:c r="F68" s="73" t="n"/>
      <x:c r="G68" s="73" t="n"/>
    </x:row>
    <x:row r="69" s="160" customFormat="1" ht="16.049999237060547" customHeight="1">
      <x:c r="B69" s="60" t="n"/>
      <x:c r="C69" s="61" t="n"/>
      <x:c r="D69" s="61" t="n"/>
      <x:c r="E69" s="61" t="n"/>
      <x:c r="F69" s="61" t="n"/>
      <x:c r="G69" s="61" t="n"/>
    </x:row>
    <x:row r="71" s="160" customFormat="1" ht="13.949999809265137" customHeight="1">
      <x:c r="B71" s="207" t="n"/>
      <x:c r="C71" s="162" t="n"/>
      <x:c r="D71" s="162" t="n"/>
      <x:c r="E71" s="162" t="n"/>
      <x:c r="F71" s="162" t="n"/>
      <x:c r="G71" s="163" t="n"/>
    </x:row>
  </x:sheetData>
  <x:mergeCells>
    <x:mergeCell ref="B3:G3"/>
    <x:mergeCell ref="B2:G2"/>
    <x:mergeCell ref="B5:G5"/>
    <x:mergeCell ref="B14:G14"/>
    <x:mergeCell ref="B22:G22"/>
    <x:mergeCell ref="B41:G41"/>
    <x:mergeCell ref="B71:G71"/>
    <x:mergeCell ref="B40:G40"/>
    <x:mergeCell ref="B30:G30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3.199999809265137"/>
  <x:cols>
    <x:col min="1" max="1" width="2" style="160" customWidth="1"/>
    <x:col min="2" max="2" width="10" style="160" customWidth="1"/>
    <x:col min="3" max="4" width="12" style="160" customWidth="1"/>
    <x:col min="5" max="5" width="14" style="160" customWidth="1"/>
    <x:col min="6" max="6" width="18.5546875" style="160" customWidth="1"/>
    <x:col min="7" max="7" width="14" style="160" customWidth="1"/>
    <x:col min="8" max="8" width="19.109375" style="160" customWidth="1"/>
    <x:col min="9" max="9" width="14" style="160" customWidth="1"/>
  </x:cols>
  <x:sheetData>
    <x:row r="1" s="160" customFormat="1" ht="6" customHeight="1"/>
    <x:row r="2" s="160" customFormat="1" ht="18" customHeight="1">
      <x:c r="B2" s="204" t="inlineStr">
        <x:is>
          <x:t xml:space="preserve">NOI ADJUSTMENT — COMPARABLE SALES</x:t>
        </x:is>
      </x:c>
      <x:c r="C2" s="162" t="n"/>
      <x:c r="D2" s="162" t="n"/>
      <x:c r="E2" s="162" t="n"/>
      <x:c r="F2" s="162" t="n"/>
      <x:c r="G2" s="162" t="n"/>
      <x:c r="H2" s="162" t="n"/>
      <x:c r="I2" s="163" t="n"/>
    </x:row>
    <x:row r="3" s="160" customFormat="1" ht="16.049999237060547" customHeight="1">
      <x:c r="B3" s="37" t="inlineStr">
        <x:is>
          <x:t xml:space="preserve">Sale No.</x:t>
        </x:is>
      </x:c>
      <x:c r="C3" s="37" t="inlineStr">
        <x:is>
          <x:t xml:space="preserve">GBA (SF)</x:t>
        </x:is>
      </x:c>
      <x:c r="D3" s="37" t="inlineStr">
        <x:is>
          <x:t xml:space="preserve">Sale ($/SF)</x:t>
        </x:is>
      </x:c>
      <x:c r="E3" s="37" t="inlineStr">
        <x:is>
          <x:t xml:space="preserve">NOI/SF (Comp)</x:t>
        </x:is>
      </x:c>
      <x:c r="F3" s="37" t="inlineStr">
        <x:is>
          <x:t xml:space="preserve">NOI/SF (Subject)</x:t>
        </x:is>
      </x:c>
      <x:c r="G3" s="37" t="inlineStr">
        <x:is>
          <x:t xml:space="preserve">NOI Adj. Factor</x:t>
        </x:is>
      </x:c>
      <x:c r="H3" s="37" t="inlineStr">
        <x:is>
          <x:t xml:space="preserve">Adj. Indicated ($/SF)</x:t>
        </x:is>
      </x:c>
      <x:c r="I3" s="37" t="n"/>
    </x:row>
    <x:row r="4" s="160" customFormat="1" ht="15" customHeight="1">
      <x:c r="B4" s="56" t="n">
        <x:v>1</x:v>
      </x:c>
      <x:c r="C4" s="74" t="n"/>
      <x:c r="D4" s="75" t="n"/>
      <x:c r="E4" s="75" t="n"/>
      <x:c r="F4" s="75" t="n"/>
      <x:c r="G4" s="76" t="n"/>
      <x:c r="H4" s="75" t="n"/>
      <x:c r="I4" s="57" t="n"/>
    </x:row>
    <x:row r="5" s="160" customFormat="1" ht="15" customHeight="1">
      <x:c r="B5" s="58" t="n">
        <x:v>2</x:v>
      </x:c>
      <x:c r="C5" s="77" t="n"/>
      <x:c r="D5" s="78" t="n"/>
      <x:c r="E5" s="78" t="n"/>
      <x:c r="F5" s="78" t="n"/>
      <x:c r="G5" s="79" t="n"/>
      <x:c r="H5" s="78" t="n"/>
      <x:c r="I5" s="59" t="n"/>
    </x:row>
    <x:row r="6" s="160" customFormat="1" ht="15" customHeight="1">
      <x:c r="B6" s="56" t="n">
        <x:v>3</x:v>
      </x:c>
      <x:c r="C6" s="74" t="n"/>
      <x:c r="D6" s="75" t="n"/>
      <x:c r="E6" s="57" t="n"/>
      <x:c r="F6" s="75" t="n"/>
      <x:c r="G6" s="57" t="n"/>
      <x:c r="H6" s="57" t="n"/>
      <x:c r="I6" s="57" t="n"/>
    </x:row>
    <x:row r="7" s="160" customFormat="1" ht="15" customHeight="1">
      <x:c r="B7" s="58" t="n">
        <x:v>4</x:v>
      </x:c>
      <x:c r="C7" s="77" t="n"/>
      <x:c r="D7" s="78" t="n"/>
      <x:c r="E7" s="78" t="n"/>
      <x:c r="F7" s="78" t="n"/>
      <x:c r="G7" s="79" t="n"/>
      <x:c r="H7" s="78" t="n"/>
      <x:c r="I7" s="59" t="n"/>
    </x:row>
    <x:row r="8" s="160" customFormat="1" ht="15" customHeight="1">
      <x:c r="B8" s="56" t="n">
        <x:v>5</x:v>
      </x:c>
      <x:c r="C8" s="74" t="n"/>
      <x:c r="D8" s="75" t="n"/>
      <x:c r="E8" s="75" t="n"/>
      <x:c r="F8" s="75" t="n"/>
      <x:c r="G8" s="76" t="n"/>
      <x:c r="H8" s="75" t="n"/>
      <x:c r="I8" s="57" t="n"/>
    </x:row>
    <x:row r="9" s="160" customFormat="1" ht="15" customHeight="1">
      <x:c r="B9" s="58" t="n">
        <x:v>6</x:v>
      </x:c>
      <x:c r="C9" s="77" t="n"/>
      <x:c r="D9" s="78" t="n"/>
      <x:c r="E9" s="59" t="n"/>
      <x:c r="F9" s="78" t="n"/>
      <x:c r="G9" s="59" t="n"/>
      <x:c r="H9" s="59" t="n"/>
      <x:c r="I9" s="59" t="n"/>
    </x:row>
    <x:row r="10" s="160" customFormat="1" ht="6" customHeight="1"/>
    <x:row r="11" s="160" customFormat="1" ht="13.949999809265137" customHeight="1">
      <x:c r="B11" s="207" t="inlineStr">
        <x:is>
          <x:t xml:space="preserve">Note: N/A = comp lacks reliable income data.</x:t>
        </x:is>
      </x:c>
      <x:c r="C11" s="162" t="n"/>
      <x:c r="D11" s="162" t="n"/>
      <x:c r="E11" s="162" t="n"/>
      <x:c r="F11" s="162" t="n"/>
      <x:c r="G11" s="162" t="n"/>
      <x:c r="H11" s="162" t="n"/>
      <x:c r="I11" s="163" t="n"/>
    </x:row>
  </x:sheetData>
  <x:mergeCells>
    <x:mergeCell ref="B11:I11"/>
    <x:mergeCell ref="B2:I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ColWidth="14" defaultRowHeight="13.800000190734863"/>
  <x:cols>
    <x:col min="1" max="1" width="2" style="9" customWidth="1"/>
    <x:col min="2" max="2" width="14.44140625" style="160" customWidth="1"/>
    <x:col min="3" max="3" width="12" style="9" customWidth="1"/>
    <x:col min="4" max="4" width="14" style="9" customWidth="1"/>
    <x:col min="5" max="5" width="15.88671875" style="9" customWidth="1"/>
    <x:col min="6" max="7" width="14" style="9" customWidth="1"/>
    <x:col min="8" max="8" width="14" style="160" customWidth="1"/>
    <x:col min="9" max="9" width="14" style="9" customWidth="1"/>
    <x:col min="10" max="16384" width="14" style="9" customWidth="1"/>
  </x:cols>
  <x:sheetData>
    <x:row r="1" s="160" customFormat="1" ht="6" customHeight="1"/>
    <x:row r="2" s="160" customFormat="1" ht="18" customHeight="1">
      <x:c r="B2" s="210" t="inlineStr">
        <x:is>
          <x:t xml:space="preserve">Comparable Sales (Implied Cap Rates)</x:t>
        </x:is>
      </x:c>
      <x:c r="C2" s="162" t="n"/>
      <x:c r="D2" s="162" t="n"/>
      <x:c r="E2" s="162" t="n"/>
      <x:c r="F2" s="162" t="n"/>
      <x:c r="G2" s="162" t="n"/>
      <x:c r="H2" s="163" t="n"/>
    </x:row>
    <x:row r="3" s="160" customFormat="1" ht="16.049999237060547" customHeight="1">
      <x:c r="B3" s="37" t="inlineStr">
        <x:is>
          <x:t xml:space="preserve">Sale</x:t>
        </x:is>
      </x:c>
      <x:c r="C3" s="80" t="inlineStr">
        <x:is>
          <x:t xml:space="preserve">Sale Date</x:t>
        </x:is>
      </x:c>
      <x:c r="D3" s="37" t="inlineStr">
        <x:is>
          <x:t xml:space="preserve">Sale Price</x:t>
        </x:is>
      </x:c>
      <x:c r="E3" s="37" t="inlineStr">
        <x:is>
          <x:t xml:space="preserve">NOI</x:t>
        </x:is>
      </x:c>
      <x:c r="F3" s="37" t="inlineStr">
        <x:is>
          <x:t xml:space="preserve">Implied Rate</x:t>
        </x:is>
      </x:c>
      <x:c r="G3" s="37" t="n"/>
      <x:c r="H3" s="37" t="n"/>
    </x:row>
    <x:row r="4" s="160" customFormat="1" ht="15" customHeight="1">
      <x:c r="B4" s="56" t="n"/>
      <x:c r="C4" s="81" t="n"/>
      <x:c r="D4" s="82" t="n"/>
      <x:c r="E4" s="82" t="n">
        <x:f>F4*D4</x:f>
        <x:v>0</x:v>
      </x:c>
      <x:c r="F4" s="83" t="n"/>
      <x:c r="G4" s="57" t="n"/>
      <x:c r="H4" s="57" t="n"/>
    </x:row>
    <x:row r="5" s="160" customFormat="1" ht="15" customHeight="1">
      <x:c r="B5" s="58" t="n"/>
      <x:c r="C5" s="84" t="n"/>
      <x:c r="D5" s="85" t="n"/>
      <x:c r="E5" s="85" t="n">
        <x:f>F5*D5</x:f>
        <x:v>0</x:v>
      </x:c>
      <x:c r="F5" s="86" t="n"/>
      <x:c r="G5" s="59" t="n"/>
      <x:c r="H5" s="86" t="n"/>
    </x:row>
    <x:row r="6" s="160" customFormat="1" ht="15" customHeight="1">
      <x:c r="B6" s="56" t="n"/>
      <x:c r="C6" s="81" t="n"/>
      <x:c r="D6" s="82" t="n"/>
      <x:c r="E6" s="82" t="n">
        <x:f>F6*D6</x:f>
        <x:v>0</x:v>
      </x:c>
      <x:c r="F6" s="83" t="n"/>
      <x:c r="G6" s="57" t="n"/>
      <x:c r="H6" s="83" t="n"/>
    </x:row>
    <x:row r="7" s="160" customFormat="1" ht="15" customHeight="1">
      <x:c r="B7" s="58" t="n"/>
      <x:c r="C7" s="58" t="n"/>
      <x:c r="D7" s="85" t="n"/>
      <x:c r="E7" s="85" t="n">
        <x:f>F7*D7</x:f>
        <x:v>0</x:v>
      </x:c>
      <x:c r="F7" s="86" t="n"/>
      <x:c r="G7" s="59" t="n"/>
      <x:c r="H7" s="59" t="n"/>
    </x:row>
    <x:row r="8" s="160" customFormat="1" ht="16.049999237060547" customHeight="1">
      <x:c r="B8" s="60" t="inlineStr">
        <x:is>
          <x:t xml:space="preserve">Indicated:</x:t>
        </x:is>
      </x:c>
      <x:c r="C8" s="61" t="n"/>
      <x:c r="D8" s="61" t="n"/>
      <x:c r="E8" s="61" t="n"/>
      <x:c r="F8" s="87" t="n"/>
      <x:c r="G8" s="61" t="n"/>
      <x:c r="H8" s="61" t="n"/>
    </x:row>
    <x:row r="9" s="160" customFormat="1" ht="16.200000762939453" customHeight="1"/>
  </x:sheetData>
  <x:mergeCells>
    <x:mergeCell ref="B2:H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3.199999809265137"/>
  <x:cols>
    <x:col min="1" max="1" width="2" style="160" customWidth="1"/>
    <x:col min="2" max="2" width="8" style="160" customWidth="1"/>
    <x:col min="3" max="3" width="28" style="160" customWidth="1"/>
    <x:col min="4" max="4" width="14" style="160" customWidth="1"/>
    <x:col min="5" max="5" width="12" style="160" customWidth="1"/>
    <x:col min="6" max="6" width="14" style="160" customWidth="1"/>
    <x:col min="7" max="7" width="18.6640625" style="160" customWidth="1"/>
    <x:col min="8" max="9" width="14" style="160" customWidth="1"/>
  </x:cols>
  <x:sheetData>
    <x:row r="1" s="160" customFormat="1" ht="6" customHeight="1"/>
    <x:row r="2" s="160" customFormat="1" ht="18" customHeight="1">
      <x:c r="B2" s="204" t="inlineStr">
        <x:is>
          <x:t xml:space="preserve">POTENTIAL GROSS INCOME — MARKET RENT CALCULATION</x:t>
        </x:is>
      </x:c>
      <x:c r="C2" s="162" t="n"/>
      <x:c r="D2" s="162" t="n"/>
      <x:c r="E2" s="162" t="n"/>
      <x:c r="F2" s="162" t="n"/>
      <x:c r="G2" s="162" t="n"/>
      <x:c r="H2" s="162" t="n"/>
      <x:c r="I2" s="163" t="n"/>
    </x:row>
    <x:row r="3" s="160" customFormat="1" ht="28.049999237060547" customHeight="1">
      <x:c r="B3" s="200" t="inlineStr">
        <x:is>
          <x:t xml:space="preserve">PGI = Total GBA at market rent (stabilized leased fee basis). Actual collections shown for reference only.</x:t>
        </x:is>
      </x:c>
      <x:c r="C3" s="162" t="n"/>
      <x:c r="D3" s="162" t="n"/>
      <x:c r="E3" s="162" t="n"/>
      <x:c r="F3" s="162" t="n"/>
      <x:c r="G3" s="162" t="n"/>
      <x:c r="H3" s="162" t="n"/>
      <x:c r="I3" s="163" t="n"/>
    </x:row>
    <x:row r="4" s="160" customFormat="1" ht="6" customHeight="1"/>
    <x:row r="5" s="160" customFormat="1" ht="15" customHeight="1">
      <x:c r="B5" s="46" t="inlineStr">
        <x:is>
          <x:t xml:space="preserve">Market Rent Assumption ($/SF):</x:t>
        </x:is>
      </x:c>
      <x:c r="C5" s="88" t="n"/>
      <x:c r="D5" s="89" t="n">
        <x:v>12</x:v>
      </x:c>
      <x:c r="E5" s="90" t="inlineStr">
        <x:is>
          <x:t xml:space="preserve">← Update this cell to recalculate PGI</x:t>
        </x:is>
      </x:c>
      <x:c r="F5" s="91" t="n"/>
      <x:c r="G5" s="91" t="n"/>
      <x:c r="H5" s="91" t="n"/>
      <x:c r="I5" s="91" t="n"/>
    </x:row>
    <x:row r="6" s="160" customFormat="1" ht="6" customHeight="1"/>
    <x:row r="7" s="160" customFormat="1" ht="16.049999237060547" customHeight="1">
      <x:c r="B7" s="37" t="inlineStr">
        <x:is>
          <x:t xml:space="preserve">Unit</x:t>
        </x:is>
      </x:c>
      <x:c r="C7" s="37" t="inlineStr">
        <x:is>
          <x:t xml:space="preserve">Tenant</x:t>
        </x:is>
      </x:c>
      <x:c r="D7" s="37" t="inlineStr">
        <x:is>
          <x:t xml:space="preserve">Status</x:t>
        </x:is>
      </x:c>
      <x:c r="E7" s="37" t="inlineStr">
        <x:is>
          <x:t xml:space="preserve">Size (SF)</x:t>
        </x:is>
      </x:c>
      <x:c r="F7" s="37" t="inlineStr">
        <x:is>
          <x:t xml:space="preserve">Mkt Rate ($/SF)</x:t>
        </x:is>
      </x:c>
      <x:c r="G7" s="37" t="inlineStr">
        <x:is>
          <x:t xml:space="preserve">Mkt PGI (Annual)</x:t>
        </x:is>
      </x:c>
      <x:c r="H7" s="37" t="inlineStr">
        <x:is>
          <x:t xml:space="preserve">Actual Rate</x:t>
        </x:is>
      </x:c>
      <x:c r="I7" s="37" t="inlineStr">
        <x:is>
          <x:t xml:space="preserve">Actual Annual</x:t>
        </x:is>
      </x:c>
    </x:row>
    <x:row r="8" s="160" customFormat="1" ht="15" customHeight="1">
      <x:c r="B8" s="56" t="n"/>
      <x:c r="C8" s="56" t="n"/>
      <x:c r="D8" s="56" t="n"/>
      <x:c r="E8" s="74" t="n"/>
      <x:c r="F8" s="75" t="n">
        <x:f>$D$5</x:f>
        <x:v>12</x:v>
      </x:c>
      <x:c r="G8" s="75" t="n">
        <x:f>E8*F8</x:f>
        <x:v>0</x:v>
      </x:c>
      <x:c r="H8" s="57" t="n"/>
      <x:c r="I8" s="57" t="n"/>
    </x:row>
    <x:row r="9" s="160" customFormat="1" ht="15" customHeight="1">
      <x:c r="B9" s="58" t="n"/>
      <x:c r="C9" s="58" t="n"/>
      <x:c r="D9" s="58" t="n"/>
      <x:c r="E9" s="77" t="n"/>
      <x:c r="F9" s="78" t="n">
        <x:f>$D$5</x:f>
        <x:v>12</x:v>
      </x:c>
      <x:c r="G9" s="78" t="n">
        <x:f>E9*F9</x:f>
        <x:v>0</x:v>
      </x:c>
      <x:c r="H9" s="78" t="n"/>
      <x:c r="I9" s="85" t="n"/>
    </x:row>
    <x:row r="10" s="160" customFormat="1" ht="15" customHeight="1">
      <x:c r="B10" s="56" t="n"/>
      <x:c r="C10" s="56" t="n"/>
      <x:c r="D10" s="56" t="n"/>
      <x:c r="E10" s="74" t="n"/>
      <x:c r="F10" s="75" t="n">
        <x:f>$D$5</x:f>
        <x:v>12</x:v>
      </x:c>
      <x:c r="G10" s="75" t="n">
        <x:f>E10*F10</x:f>
        <x:v>0</x:v>
      </x:c>
      <x:c r="H10" s="75" t="n"/>
      <x:c r="I10" s="82" t="n"/>
    </x:row>
    <x:row r="11" s="160" customFormat="1" ht="15" customHeight="1">
      <x:c r="B11" s="58" t="n"/>
      <x:c r="C11" s="58" t="n"/>
      <x:c r="D11" s="58" t="n"/>
      <x:c r="E11" s="77" t="n"/>
      <x:c r="F11" s="78" t="n">
        <x:f>$D$5</x:f>
        <x:v>12</x:v>
      </x:c>
      <x:c r="G11" s="78" t="n">
        <x:f>E11*F11</x:f>
        <x:v>0</x:v>
      </x:c>
      <x:c r="H11" s="78" t="n"/>
      <x:c r="I11" s="85" t="n"/>
    </x:row>
    <x:row r="12" s="160" customFormat="1" ht="15" customHeight="1">
      <x:c r="B12" s="56" t="n"/>
      <x:c r="C12" s="56" t="n"/>
      <x:c r="D12" s="56" t="n"/>
      <x:c r="E12" s="74" t="n"/>
      <x:c r="F12" s="75" t="n">
        <x:f>$D$5</x:f>
        <x:v>12</x:v>
      </x:c>
      <x:c r="G12" s="75" t="n">
        <x:f>E12*F12</x:f>
        <x:v>0</x:v>
      </x:c>
      <x:c r="H12" s="75" t="n"/>
      <x:c r="I12" s="82" t="n"/>
    </x:row>
    <x:row r="13" s="160" customFormat="1" ht="15" customHeight="1">
      <x:c r="B13" s="58" t="n"/>
      <x:c r="C13" s="58" t="n"/>
      <x:c r="D13" s="58" t="n"/>
      <x:c r="E13" s="77" t="n"/>
      <x:c r="F13" s="78" t="n">
        <x:f>$D$5</x:f>
        <x:v>12</x:v>
      </x:c>
      <x:c r="G13" s="78" t="n">
        <x:f>E13*F13</x:f>
        <x:v>0</x:v>
      </x:c>
      <x:c r="H13" s="78" t="n"/>
      <x:c r="I13" s="85" t="n"/>
    </x:row>
    <x:row r="14" s="160" customFormat="1" ht="15" customHeight="1">
      <x:c r="B14" s="56" t="n"/>
      <x:c r="C14" s="56" t="n"/>
      <x:c r="D14" s="56" t="n"/>
      <x:c r="E14" s="74" t="n"/>
      <x:c r="F14" s="75" t="n">
        <x:f>$D$5</x:f>
        <x:v>12</x:v>
      </x:c>
      <x:c r="G14" s="75" t="n">
        <x:f>E14*F14</x:f>
        <x:v>0</x:v>
      </x:c>
      <x:c r="H14" s="75" t="n"/>
      <x:c r="I14" s="82" t="n"/>
    </x:row>
    <x:row r="15" s="160" customFormat="1" ht="15" customHeight="1">
      <x:c r="B15" s="58" t="n"/>
      <x:c r="C15" s="58" t="n"/>
      <x:c r="D15" s="58" t="n"/>
      <x:c r="E15" s="77" t="n"/>
      <x:c r="F15" s="78" t="n">
        <x:f>$D$5</x:f>
        <x:v>12</x:v>
      </x:c>
      <x:c r="G15" s="78" t="n">
        <x:f>E15*F15</x:f>
        <x:v>0</x:v>
      </x:c>
      <x:c r="H15" s="78" t="n"/>
      <x:c r="I15" s="85" t="n"/>
    </x:row>
    <x:row r="16" s="160" customFormat="1" ht="15" customHeight="1">
      <x:c r="B16" s="56" t="n"/>
      <x:c r="C16" s="56" t="n"/>
      <x:c r="D16" s="56" t="n"/>
      <x:c r="E16" s="74" t="n"/>
      <x:c r="F16" s="75" t="n">
        <x:f>$D$5</x:f>
        <x:v>12</x:v>
      </x:c>
      <x:c r="G16" s="75" t="n">
        <x:f>E16*F16</x:f>
        <x:v>0</x:v>
      </x:c>
      <x:c r="H16" s="57" t="n"/>
      <x:c r="I16" s="57" t="n"/>
    </x:row>
    <x:row r="17" s="160" customFormat="1" ht="16.049999237060547" customHeight="1">
      <x:c r="B17" s="60" t="inlineStr">
        <x:is>
          <x:t xml:space="preserve">TOTALS</x:t>
        </x:is>
      </x:c>
      <x:c r="C17" s="61" t="n"/>
      <x:c r="D17" s="61" t="n"/>
      <x:c r="E17" s="92" t="n">
        <x:f>SUM(E8:E16)</x:f>
        <x:v>0</x:v>
      </x:c>
      <x:c r="F17" s="61" t="n"/>
      <x:c r="G17" s="93" t="n">
        <x:f>SUM(G8:G16)</x:f>
        <x:v>0</x:v>
      </x:c>
      <x:c r="H17" s="61" t="n"/>
      <x:c r="I17" s="93" t="n">
        <x:f>SUM(I8:I16)</x:f>
        <x:v>0</x:v>
      </x:c>
    </x:row>
    <x:row r="18" s="160" customFormat="1" ht="18" customHeight="1">
      <x:c r="B18" s="161" t="inlineStr">
        <x:is>
          <x:t xml:space="preserve">CONCLUDED PGI (feeds Income Summary):</x:t>
        </x:is>
      </x:c>
      <x:c r="C18" s="94" t="n"/>
      <x:c r="D18" s="94" t="n"/>
      <x:c r="E18" s="94" t="n"/>
      <x:c r="F18" s="94" t="n"/>
      <x:c r="G18" s="95" t="n">
        <x:f>G17</x:f>
        <x:v>0</x:v>
      </x:c>
      <x:c r="H18" s="94" t="n"/>
      <x:c r="I18" s="94" t="n"/>
    </x:row>
    <x:row r="19" s="160" customFormat="1" ht="13.949999809265137" customHeight="1">
      <x:c r="B19" s="207" t="inlineStr">
        <x:is>
          <x:t xml:space="preserve">Change market rent in D5 → PGI updates → income_summary!D5 updates → NOI/Value update automatically.</x:t>
        </x:is>
      </x:c>
      <x:c r="C19" s="162" t="n"/>
      <x:c r="D19" s="162" t="n"/>
      <x:c r="E19" s="162" t="n"/>
      <x:c r="F19" s="162" t="n"/>
      <x:c r="G19" s="162" t="n"/>
      <x:c r="H19" s="162" t="n"/>
      <x:c r="I19" s="163" t="n"/>
    </x:row>
  </x:sheetData>
  <x:mergeCells>
    <x:mergeCell ref="B3:I3"/>
    <x:mergeCell ref="B19:I19"/>
    <x:mergeCell ref="B2:I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3.199999809265137"/>
  <x:cols>
    <x:col min="1" max="1" width="2" style="160" customWidth="1"/>
    <x:col min="2" max="2" width="10" style="160" customWidth="1"/>
    <x:col min="3" max="3" width="32" style="160" customWidth="1"/>
    <x:col min="4" max="5" width="12" style="160" customWidth="1"/>
    <x:col min="6" max="6" width="14" style="160" customWidth="1"/>
    <x:col min="7" max="7" width="12" style="160" customWidth="1"/>
    <x:col min="8" max="10" width="14" style="160" customWidth="1"/>
  </x:cols>
  <x:sheetData>
    <x:row r="1" s="160" customFormat="1" ht="6" customHeight="1"/>
    <x:row r="2" s="160" customFormat="1" ht="18" customHeight="1">
      <x:c r="B2" s="204" t="inlineStr">
        <x:is>
          <x:t xml:space="preserve">LEASE COMPARABLE ANALYSIS</x:t>
        </x:is>
      </x:c>
      <x:c r="C2" s="162" t="n"/>
      <x:c r="D2" s="162" t="n"/>
      <x:c r="E2" s="162" t="n"/>
      <x:c r="F2" s="162" t="n"/>
      <x:c r="G2" s="162" t="n"/>
      <x:c r="H2" s="162" t="n"/>
      <x:c r="I2" s="162" t="n"/>
      <x:c r="J2" s="163" t="n"/>
    </x:row>
    <x:row r="3" s="160" customFormat="1" ht="16.049999237060547" customHeight="1">
      <x:c r="B3" s="37" t="inlineStr">
        <x:is>
          <x:t xml:space="preserve">Comp No.</x:t>
        </x:is>
      </x:c>
      <x:c r="C3" s="37" t="inlineStr">
        <x:is>
          <x:t xml:space="preserve">Location</x:t>
        </x:is>
      </x:c>
      <x:c r="D3" s="37" t="inlineStr">
        <x:is>
          <x:t xml:space="preserve">Size (SF)</x:t>
        </x:is>
      </x:c>
      <x:c r="E3" s="37" t="inlineStr">
        <x:is>
          <x:t xml:space="preserve">Rate ($/SF)</x:t>
        </x:is>
      </x:c>
      <x:c r="F3" s="37" t="inlineStr">
        <x:is>
          <x:t xml:space="preserve">Lease Type</x:t>
        </x:is>
      </x:c>
      <x:c r="G3" s="37" t="inlineStr">
        <x:is>
          <x:t xml:space="preserve">Begin</x:t>
        </x:is>
      </x:c>
      <x:c r="H3" s="37" t="inlineStr">
        <x:is>
          <x:t xml:space="preserve">End</x:t>
        </x:is>
      </x:c>
      <x:c r="I3" s="37" t="inlineStr">
        <x:is>
          <x:t xml:space="preserve">Tenant</x:t>
        </x:is>
      </x:c>
      <x:c r="J3" s="37" t="n"/>
    </x:row>
    <x:row r="4" s="160" customFormat="1" ht="15" customHeight="1">
      <x:c r="B4" s="56" t="n">
        <x:v>1</x:v>
      </x:c>
      <x:c r="C4" s="56" t="n"/>
      <x:c r="D4" s="74" t="n"/>
      <x:c r="E4" s="75" t="n"/>
      <x:c r="F4" s="56" t="n"/>
      <x:c r="G4" s="96" t="n"/>
      <x:c r="H4" s="96" t="n"/>
      <x:c r="I4" s="57" t="n"/>
      <x:c r="J4" s="57" t="n"/>
    </x:row>
    <x:row r="5" s="160" customFormat="1" ht="15" customHeight="1">
      <x:c r="B5" s="58" t="n">
        <x:v>2</x:v>
      </x:c>
      <x:c r="C5" s="58" t="n"/>
      <x:c r="D5" s="77" t="n"/>
      <x:c r="E5" s="78" t="n"/>
      <x:c r="F5" s="58" t="n"/>
      <x:c r="G5" s="97" t="n"/>
      <x:c r="H5" s="97" t="n"/>
      <x:c r="I5" s="59" t="n"/>
      <x:c r="J5" s="59" t="n"/>
    </x:row>
    <x:row r="6" s="160" customFormat="1" ht="15" customHeight="1">
      <x:c r="B6" s="56" t="n">
        <x:v>3</x:v>
      </x:c>
      <x:c r="C6" s="56" t="n"/>
      <x:c r="D6" s="74" t="n"/>
      <x:c r="E6" s="75" t="n"/>
      <x:c r="F6" s="56" t="n"/>
      <x:c r="G6" s="96" t="n"/>
      <x:c r="H6" s="96" t="n"/>
      <x:c r="I6" s="57" t="n"/>
      <x:c r="J6" s="57" t="n"/>
    </x:row>
    <x:row r="7" s="160" customFormat="1" ht="15" customHeight="1">
      <x:c r="B7" s="58" t="n">
        <x:v>4</x:v>
      </x:c>
      <x:c r="C7" s="58" t="n"/>
      <x:c r="D7" s="77" t="n"/>
      <x:c r="E7" s="78" t="n"/>
      <x:c r="F7" s="58" t="n"/>
      <x:c r="G7" s="97" t="n"/>
      <x:c r="H7" s="97" t="n"/>
      <x:c r="I7" s="59" t="n"/>
      <x:c r="J7" s="59" t="n"/>
    </x:row>
    <x:row r="8" s="160" customFormat="1" ht="15" customHeight="1">
      <x:c r="B8" s="56" t="n">
        <x:v>5</x:v>
      </x:c>
      <x:c r="C8" s="56" t="n"/>
      <x:c r="D8" s="74" t="n"/>
      <x:c r="E8" s="75" t="n"/>
      <x:c r="F8" s="56" t="n"/>
      <x:c r="G8" s="96" t="n"/>
      <x:c r="H8" s="96" t="n"/>
      <x:c r="I8" s="57" t="n"/>
      <x:c r="J8" s="57" t="n"/>
    </x:row>
    <x:row r="9" s="160" customFormat="1" ht="15" customHeight="1">
      <x:c r="B9" s="58" t="n">
        <x:v>6</x:v>
      </x:c>
      <x:c r="C9" s="58" t="n"/>
      <x:c r="D9" s="77" t="n"/>
      <x:c r="E9" s="78" t="n"/>
      <x:c r="F9" s="58" t="n"/>
      <x:c r="G9" s="97" t="n"/>
      <x:c r="H9" s="97" t="n"/>
      <x:c r="I9" s="59" t="n"/>
      <x:c r="J9" s="59" t="n"/>
    </x:row>
    <x:row r="10" s="160" customFormat="1" ht="15" customHeight="1">
      <x:c r="B10" s="56" t="n">
        <x:v>7</x:v>
      </x:c>
      <x:c r="C10" s="56" t="n"/>
      <x:c r="D10" s="74" t="n"/>
      <x:c r="E10" s="75" t="n"/>
      <x:c r="F10" s="56" t="n"/>
      <x:c r="G10" s="96" t="n"/>
      <x:c r="H10" s="96" t="n"/>
      <x:c r="I10" s="57" t="n"/>
      <x:c r="J10" s="57" t="n"/>
    </x:row>
    <x:row r="11" s="160" customFormat="1" ht="15" customHeight="1">
      <x:c r="B11" s="58" t="n">
        <x:v>8</x:v>
      </x:c>
      <x:c r="C11" s="58" t="n"/>
      <x:c r="D11" s="77" t="n"/>
      <x:c r="E11" s="78" t="n"/>
      <x:c r="F11" s="58" t="n"/>
      <x:c r="G11" s="97" t="n"/>
      <x:c r="H11" s="97" t="n"/>
      <x:c r="I11" s="59" t="n"/>
      <x:c r="J11" s="59" t="n"/>
    </x:row>
    <x:row r="12" s="160" customFormat="1" ht="15" customHeight="1">
      <x:c r="B12" s="56" t="n">
        <x:v>9</x:v>
      </x:c>
      <x:c r="C12" s="56" t="n"/>
      <x:c r="D12" s="74" t="n"/>
      <x:c r="E12" s="75" t="n"/>
      <x:c r="F12" s="56" t="n"/>
      <x:c r="G12" s="96" t="n"/>
      <x:c r="H12" s="96" t="n"/>
      <x:c r="I12" s="57" t="n"/>
      <x:c r="J12" s="57" t="n"/>
    </x:row>
    <x:row r="13" s="160" customFormat="1" ht="15" customHeight="1">
      <x:c r="B13" s="58" t="n">
        <x:v>10</x:v>
      </x:c>
      <x:c r="C13" s="58" t="n"/>
      <x:c r="D13" s="77" t="n"/>
      <x:c r="E13" s="78" t="n"/>
      <x:c r="F13" s="58" t="n"/>
      <x:c r="G13" s="97" t="n"/>
      <x:c r="H13" s="97" t="n"/>
      <x:c r="I13" s="59" t="n"/>
      <x:c r="J13" s="59" t="n"/>
    </x:row>
    <x:row r="14" s="160" customFormat="1" ht="15" customHeight="1">
      <x:c r="B14" s="56" t="n">
        <x:v>11</x:v>
      </x:c>
      <x:c r="C14" s="56" t="n"/>
      <x:c r="D14" s="74" t="n"/>
      <x:c r="E14" s="75" t="n"/>
      <x:c r="F14" s="56" t="n"/>
      <x:c r="G14" s="96" t="n"/>
      <x:c r="H14" s="96" t="n"/>
      <x:c r="I14" s="57" t="n"/>
      <x:c r="J14" s="57" t="n"/>
    </x:row>
    <x:row r="15" s="160" customFormat="1" ht="15" customHeight="1">
      <x:c r="B15" s="58" t="n">
        <x:v>12</x:v>
      </x:c>
      <x:c r="C15" s="58" t="n"/>
      <x:c r="D15" s="77" t="n"/>
      <x:c r="E15" s="78" t="n"/>
      <x:c r="F15" s="58" t="n"/>
      <x:c r="G15" s="97" t="n"/>
      <x:c r="H15" s="97" t="n"/>
      <x:c r="I15" s="59" t="n"/>
      <x:c r="J15" s="59" t="n"/>
    </x:row>
    <x:row r="16" s="160" customFormat="1" ht="16.049999237060547" customHeight="1">
      <x:c r="B16" s="60" t="inlineStr">
        <x:is>
          <x:t xml:space="preserve">MEAN</x:t>
        </x:is>
      </x:c>
      <x:c r="C16" s="61" t="n"/>
      <x:c r="D16" s="92" t="n"/>
      <x:c r="E16" s="98" t="n"/>
      <x:c r="F16" s="61" t="n"/>
      <x:c r="G16" s="61" t="n"/>
      <x:c r="H16" s="61" t="n"/>
      <x:c r="I16" s="61" t="n"/>
      <x:c r="J16" s="61" t="n"/>
    </x:row>
  </x:sheetData>
  <x:mergeCells>
    <x:mergeCell ref="B2:J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3.199999809265137"/>
  <x:cols>
    <x:col min="1" max="1" width="2" style="160" customWidth="1"/>
    <x:col min="2" max="4" width="16" style="160" customWidth="1"/>
    <x:col min="5" max="7" width="12" style="160" customWidth="1"/>
  </x:cols>
  <x:sheetData>
    <x:row r="1" s="160" customFormat="1" ht="6" customHeight="1"/>
    <x:row r="2" s="160" customFormat="1" ht="18" customHeight="1">
      <x:c r="B2" s="204" t="inlineStr">
        <x:is>
          <x:t xml:space="preserve">LEASE RATE SUMMARY ($/SF)</x:t>
        </x:is>
      </x:c>
      <x:c r="C2" s="162" t="n"/>
      <x:c r="D2" s="162" t="n"/>
      <x:c r="E2" s="162" t="n"/>
      <x:c r="F2" s="162" t="n"/>
      <x:c r="G2" s="163" t="n"/>
    </x:row>
    <x:row r="3" s="160" customFormat="1" ht="16.049999237060547" customHeight="1">
      <x:c r="B3" s="37" t="inlineStr">
        <x:is>
          <x:t xml:space="preserve">Metric</x:t>
        </x:is>
      </x:c>
      <x:c r="C3" s="37" t="inlineStr">
        <x:is>
          <x:t xml:space="preserve">Triple-Net</x:t>
        </x:is>
      </x:c>
      <x:c r="D3" s="37" t="inlineStr">
        <x:is>
          <x:t xml:space="preserve">Full Service</x:t>
        </x:is>
      </x:c>
      <x:c r="E3" s="37" t="n"/>
      <x:c r="F3" s="37" t="n"/>
      <x:c r="G3" s="37" t="n"/>
    </x:row>
    <x:row r="4" s="160" customFormat="1" ht="15" customHeight="1">
      <x:c r="B4" s="56" t="inlineStr">
        <x:is>
          <x:t xml:space="preserve">Low</x:t>
        </x:is>
      </x:c>
      <x:c r="C4" s="75" t="n">
        <x:v>12</x:v>
      </x:c>
      <x:c r="D4" s="75" t="n">
        <x:v>12.5</x:v>
      </x:c>
      <x:c r="E4" s="57" t="n"/>
      <x:c r="F4" s="57" t="n"/>
      <x:c r="G4" s="57" t="n"/>
    </x:row>
    <x:row r="5" s="160" customFormat="1" ht="15" customHeight="1">
      <x:c r="B5" s="58" t="inlineStr">
        <x:is>
          <x:t xml:space="preserve">Median</x:t>
        </x:is>
      </x:c>
      <x:c r="C5" s="78" t="n">
        <x:v>14.5</x:v>
      </x:c>
      <x:c r="D5" s="78" t="n">
        <x:v>13.5</x:v>
      </x:c>
      <x:c r="E5" s="59" t="n"/>
      <x:c r="F5" s="59" t="n"/>
      <x:c r="G5" s="59" t="n"/>
    </x:row>
    <x:row r="6" s="160" customFormat="1" ht="15" customHeight="1">
      <x:c r="B6" s="56" t="inlineStr">
        <x:is>
          <x:t xml:space="preserve">High</x:t>
        </x:is>
      </x:c>
      <x:c r="C6" s="75" t="n">
        <x:v>17</x:v>
      </x:c>
      <x:c r="D6" s="75" t="n">
        <x:v>16</x:v>
      </x:c>
      <x:c r="E6" s="57" t="n"/>
      <x:c r="F6" s="57" t="n"/>
      <x:c r="G6" s="57" t="n"/>
    </x:row>
    <x:row r="7" s="160" customFormat="1" ht="15" customHeight="1">
      <x:c r="B7" s="58" t="inlineStr">
        <x:is>
          <x:t xml:space="preserve">Mean</x:t>
        </x:is>
      </x:c>
      <x:c r="C7" s="78" t="n">
        <x:v>14.27833333333333</x:v>
      </x:c>
      <x:c r="D7" s="78" t="n">
        <x:v>14.28</x:v>
      </x:c>
      <x:c r="E7" s="59" t="n"/>
      <x:c r="F7" s="59" t="n"/>
      <x:c r="G7" s="59" t="n"/>
    </x:row>
    <x:row r="8" s="160" customFormat="1" ht="15" customHeight="1">
      <x:c r="B8" s="56" t="inlineStr">
        <x:is>
          <x:t xml:space="preserve">Count</x:t>
        </x:is>
      </x:c>
      <x:c r="C8" s="57" t="n">
        <x:v>6</x:v>
      </x:c>
      <x:c r="D8" s="57" t="n">
        <x:v>5</x:v>
      </x:c>
      <x:c r="E8" s="57" t="n"/>
      <x:c r="F8" s="57" t="n"/>
      <x:c r="G8" s="57" t="n"/>
    </x:row>
    <x:row r="9" s="160" customFormat="1" ht="6" customHeight="1"/>
    <x:row r="10" s="160" customFormat="1" ht="18" customHeight="1">
      <x:c r="B10" s="204" t="inlineStr">
        <x:is>
          <x:t xml:space="preserve">LEASE SIZE SUMMARY (SF)</x:t>
        </x:is>
      </x:c>
      <x:c r="C10" s="162" t="n"/>
      <x:c r="D10" s="162" t="n"/>
      <x:c r="E10" s="162" t="n"/>
      <x:c r="F10" s="162" t="n"/>
      <x:c r="G10" s="163" t="n"/>
    </x:row>
    <x:row r="11" s="160" customFormat="1" ht="16.049999237060547" customHeight="1">
      <x:c r="B11" s="37" t="inlineStr">
        <x:is>
          <x:t xml:space="preserve">Metric</x:t>
        </x:is>
      </x:c>
      <x:c r="C11" s="37" t="inlineStr">
        <x:is>
          <x:t xml:space="preserve">Triple-Net</x:t>
        </x:is>
      </x:c>
      <x:c r="D11" s="37" t="inlineStr">
        <x:is>
          <x:t xml:space="preserve">Full Service</x:t>
        </x:is>
      </x:c>
      <x:c r="E11" s="37" t="n"/>
      <x:c r="F11" s="37" t="n"/>
      <x:c r="G11" s="37" t="n"/>
    </x:row>
    <x:row r="12" s="160" customFormat="1" ht="15" customHeight="1">
      <x:c r="B12" s="56" t="inlineStr">
        <x:is>
          <x:t xml:space="preserve">Low</x:t>
        </x:is>
      </x:c>
      <x:c r="C12" s="74" t="n">
        <x:v>1063</x:v>
      </x:c>
      <x:c r="D12" s="74" t="n">
        <x:v>899</x:v>
      </x:c>
      <x:c r="E12" s="57" t="n"/>
      <x:c r="F12" s="57" t="n"/>
      <x:c r="G12" s="57" t="n"/>
    </x:row>
    <x:row r="13" s="160" customFormat="1" ht="15" customHeight="1">
      <x:c r="B13" s="58" t="inlineStr">
        <x:is>
          <x:t xml:space="preserve">Median</x:t>
        </x:is>
      </x:c>
      <x:c r="C13" s="77" t="n">
        <x:v>2445</x:v>
      </x:c>
      <x:c r="D13" s="77" t="n">
        <x:v>1062</x:v>
      </x:c>
      <x:c r="E13" s="59" t="n"/>
      <x:c r="F13" s="59" t="n"/>
      <x:c r="G13" s="59" t="n"/>
    </x:row>
    <x:row r="14" s="160" customFormat="1" ht="15" customHeight="1">
      <x:c r="B14" s="56" t="inlineStr">
        <x:is>
          <x:t xml:space="preserve">High</x:t>
        </x:is>
      </x:c>
      <x:c r="C14" s="74" t="n">
        <x:v>5300</x:v>
      </x:c>
      <x:c r="D14" s="74" t="n">
        <x:v>4189</x:v>
      </x:c>
      <x:c r="E14" s="57" t="n"/>
      <x:c r="F14" s="57" t="n"/>
      <x:c r="G14" s="57" t="n"/>
    </x:row>
    <x:row r="15" s="160" customFormat="1" ht="15" customHeight="1">
      <x:c r="B15" s="58" t="inlineStr">
        <x:is>
          <x:t xml:space="preserve">Mean</x:t>
        </x:is>
      </x:c>
      <x:c r="C15" s="77" t="n">
        <x:v>2865.5</x:v>
      </x:c>
      <x:c r="D15" s="77" t="n">
        <x:v>1729.8</x:v>
      </x:c>
      <x:c r="E15" s="59" t="n"/>
      <x:c r="F15" s="59" t="n"/>
      <x:c r="G15" s="59" t="n"/>
    </x:row>
  </x:sheetData>
  <x:mergeCells>
    <x:mergeCell ref="B2:G2"/>
    <x:mergeCell ref="B10:G10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3.199999809265137"/>
  <x:cols>
    <x:col min="1" max="1" width="2" style="160" customWidth="1"/>
    <x:col min="2" max="2" width="22" style="160" customWidth="1"/>
    <x:col min="3" max="3" width="40.6640625" style="160" customWidth="1"/>
    <x:col min="4" max="10" width="12" style="160" customWidth="1"/>
  </x:cols>
  <x:sheetData>
    <x:row r="1" s="160" customFormat="1" ht="6" customHeight="1"/>
    <x:row r="2" s="160" customFormat="1" ht="18" customHeight="1">
      <x:c r="B2" s="204" t="inlineStr">
        <x:is>
          <x:t xml:space="preserve">LEASE COMPARABLE — QUALITATIVE ANALYSIS</x:t>
        </x:is>
      </x:c>
      <x:c r="C2" s="162" t="n"/>
      <x:c r="D2" s="162" t="n"/>
      <x:c r="E2" s="162" t="n"/>
      <x:c r="F2" s="162" t="n"/>
      <x:c r="G2" s="162" t="n"/>
      <x:c r="H2" s="162" t="n"/>
      <x:c r="I2" s="162" t="n"/>
      <x:c r="J2" s="163" t="n"/>
    </x:row>
    <x:row r="3" s="160" customFormat="1" ht="13.949999809265137" customHeight="1">
      <x:c r="B3" s="209" t="n"/>
      <x:c r="C3" s="162" t="n"/>
      <x:c r="D3" s="162" t="n"/>
      <x:c r="E3" s="162" t="n"/>
      <x:c r="F3" s="162" t="n"/>
      <x:c r="G3" s="162" t="n"/>
      <x:c r="H3" s="162" t="n"/>
      <x:c r="I3" s="162" t="n"/>
      <x:c r="J3" s="163" t="n"/>
    </x:row>
    <x:row r="4" s="160" customFormat="1" ht="16.049999237060547" customHeight="1">
      <x:c r="B4" s="37" t="inlineStr">
        <x:is>
          <x:t xml:space="preserve">Comp No.</x:t>
        </x:is>
      </x:c>
      <x:c r="C4" s="37" t="inlineStr">
        <x:is>
          <x:t xml:space="preserve">Location</x:t>
        </x:is>
      </x:c>
      <x:c r="D4" s="37" t="inlineStr">
        <x:is>
          <x:t xml:space="preserve">Rate ($/SF)</x:t>
        </x:is>
      </x:c>
      <x:c r="E4" s="37" t="inlineStr">
        <x:is>
          <x:t xml:space="preserve">Location</x:t>
        </x:is>
      </x:c>
      <x:c r="F4" s="37" t="inlineStr">
        <x:is>
          <x:t xml:space="preserve">Quality</x:t>
        </x:is>
      </x:c>
      <x:c r="G4" s="37" t="inlineStr">
        <x:is>
          <x:t xml:space="preserve">Condition</x:t>
        </x:is>
      </x:c>
      <x:c r="H4" s="37" t="inlineStr">
        <x:is>
          <x:t xml:space="preserve">Size</x:t>
        </x:is>
      </x:c>
      <x:c r="I4" s="37" t="inlineStr">
        <x:is>
          <x:t xml:space="preserve">Lease Terms</x:t>
        </x:is>
      </x:c>
      <x:c r="J4" s="37" t="inlineStr">
        <x:is>
          <x:t xml:space="preserve">Overall</x:t>
        </x:is>
      </x:c>
    </x:row>
    <x:row r="5" s="160" customFormat="1" ht="15" customHeight="1">
      <x:c r="B5" s="56" t="n">
        <x:v>1</x:v>
      </x:c>
      <x:c r="C5" s="56" t="n"/>
      <x:c r="D5" s="75" t="n"/>
      <x:c r="E5" s="41" t="n"/>
      <x:c r="F5" s="41" t="n"/>
      <x:c r="G5" s="41" t="n"/>
      <x:c r="H5" s="41" t="n"/>
      <x:c r="I5" s="41" t="n"/>
      <x:c r="J5" s="41" t="n"/>
    </x:row>
    <x:row r="6" s="160" customFormat="1" ht="15" customHeight="1">
      <x:c r="B6" s="58" t="n">
        <x:v>2</x:v>
      </x:c>
      <x:c r="C6" s="58" t="n"/>
      <x:c r="D6" s="78" t="n"/>
      <x:c r="E6" s="44" t="n"/>
      <x:c r="F6" s="44" t="n"/>
      <x:c r="G6" s="44" t="n"/>
      <x:c r="H6" s="99" t="n"/>
      <x:c r="I6" s="100" t="n"/>
      <x:c r="J6" s="44" t="n"/>
    </x:row>
    <x:row r="7" s="160" customFormat="1" ht="15" customHeight="1">
      <x:c r="B7" s="56" t="n">
        <x:v>3</x:v>
      </x:c>
      <x:c r="C7" s="56" t="n"/>
      <x:c r="D7" s="75" t="n"/>
      <x:c r="E7" s="41" t="n"/>
      <x:c r="F7" s="41" t="n"/>
      <x:c r="G7" s="41" t="n"/>
      <x:c r="H7" s="41" t="n"/>
      <x:c r="I7" s="41" t="n"/>
      <x:c r="J7" s="41" t="n"/>
    </x:row>
    <x:row r="8" s="160" customFormat="1" ht="15" customHeight="1">
      <x:c r="B8" s="58" t="n">
        <x:v>4</x:v>
      </x:c>
      <x:c r="C8" s="58" t="n"/>
      <x:c r="D8" s="78" t="n"/>
      <x:c r="E8" s="44" t="n"/>
      <x:c r="F8" s="44" t="n"/>
      <x:c r="G8" s="44" t="n"/>
      <x:c r="H8" s="99" t="n"/>
      <x:c r="I8" s="100" t="n"/>
      <x:c r="J8" s="44" t="n"/>
    </x:row>
    <x:row r="9" s="160" customFormat="1" ht="15" customHeight="1">
      <x:c r="B9" s="56" t="n">
        <x:v>5</x:v>
      </x:c>
      <x:c r="C9" s="56" t="n"/>
      <x:c r="D9" s="75" t="n"/>
      <x:c r="E9" s="41" t="n"/>
      <x:c r="F9" s="41" t="n"/>
      <x:c r="G9" s="41" t="n"/>
      <x:c r="H9" s="41" t="n"/>
      <x:c r="I9" s="41" t="n"/>
      <x:c r="J9" s="99" t="n"/>
    </x:row>
    <x:row r="10" s="160" customFormat="1" ht="15" customHeight="1">
      <x:c r="B10" s="58" t="n">
        <x:v>6</x:v>
      </x:c>
      <x:c r="C10" s="58" t="n"/>
      <x:c r="D10" s="78" t="n"/>
      <x:c r="E10" s="99" t="n"/>
      <x:c r="F10" s="99" t="n"/>
      <x:c r="G10" s="44" t="n"/>
      <x:c r="H10" s="99" t="n"/>
      <x:c r="I10" s="100" t="n"/>
      <x:c r="J10" s="99" t="n"/>
    </x:row>
    <x:row r="11" s="160" customFormat="1" ht="15" customHeight="1">
      <x:c r="B11" s="56" t="n">
        <x:v>7</x:v>
      </x:c>
      <x:c r="C11" s="56" t="n"/>
      <x:c r="D11" s="75" t="n"/>
      <x:c r="E11" s="100" t="n"/>
      <x:c r="F11" s="41" t="n"/>
      <x:c r="G11" s="41" t="n"/>
      <x:c r="H11" s="41" t="n"/>
      <x:c r="I11" s="41" t="n"/>
      <x:c r="J11" s="100" t="n"/>
    </x:row>
    <x:row r="12" s="160" customFormat="1" ht="15" customHeight="1">
      <x:c r="B12" s="58" t="n">
        <x:v>8</x:v>
      </x:c>
      <x:c r="C12" s="58" t="n"/>
      <x:c r="D12" s="78" t="n"/>
      <x:c r="E12" s="44" t="n"/>
      <x:c r="F12" s="99" t="n"/>
      <x:c r="G12" s="99" t="n"/>
      <x:c r="H12" s="100" t="n"/>
      <x:c r="I12" s="44" t="n"/>
      <x:c r="J12" s="99" t="n"/>
    </x:row>
    <x:row r="13" s="160" customFormat="1" ht="15" customHeight="1">
      <x:c r="B13" s="56" t="n">
        <x:v>9</x:v>
      </x:c>
      <x:c r="C13" s="56" t="n"/>
      <x:c r="D13" s="75" t="n"/>
      <x:c r="E13" s="41" t="n"/>
      <x:c r="F13" s="41" t="n"/>
      <x:c r="G13" s="41" t="n"/>
      <x:c r="H13" s="99" t="n"/>
      <x:c r="I13" s="41" t="n"/>
      <x:c r="J13" s="99" t="n"/>
    </x:row>
    <x:row r="14" s="160" customFormat="1" ht="15" customHeight="1">
      <x:c r="B14" s="58" t="n">
        <x:v>10</x:v>
      </x:c>
      <x:c r="C14" s="58" t="n"/>
      <x:c r="D14" s="78" t="n"/>
      <x:c r="E14" s="99" t="n"/>
      <x:c r="F14" s="99" t="n"/>
      <x:c r="G14" s="44" t="n"/>
      <x:c r="H14" s="100" t="n"/>
      <x:c r="I14" s="100" t="n"/>
      <x:c r="J14" s="99" t="n"/>
    </x:row>
    <x:row r="15" s="160" customFormat="1" ht="15" customHeight="1">
      <x:c r="B15" s="56" t="n">
        <x:v>11</x:v>
      </x:c>
      <x:c r="C15" s="56" t="n"/>
      <x:c r="D15" s="75" t="n"/>
      <x:c r="E15" s="41" t="n"/>
      <x:c r="F15" s="41" t="n"/>
      <x:c r="G15" s="41" t="n"/>
      <x:c r="H15" s="99" t="n"/>
      <x:c r="I15" s="100" t="n"/>
      <x:c r="J15" s="41" t="n"/>
    </x:row>
    <x:row r="16" s="160" customFormat="1" ht="15" customHeight="1">
      <x:c r="B16" s="58" t="n">
        <x:v>12</x:v>
      </x:c>
      <x:c r="C16" s="58" t="n"/>
      <x:c r="D16" s="78" t="n"/>
      <x:c r="E16" s="100" t="n"/>
      <x:c r="F16" s="44" t="n"/>
      <x:c r="G16" s="44" t="n"/>
      <x:c r="H16" s="99" t="n"/>
      <x:c r="I16" s="100" t="n"/>
      <x:c r="J16" s="100" t="n"/>
    </x:row>
    <x:row r="17" s="160" customFormat="1" ht="6" customHeight="1"/>
    <x:row r="18" s="160" customFormat="1" ht="18" customHeight="1">
      <x:c r="B18" s="204" t="inlineStr">
        <x:is>
          <x:t xml:space="preserve">MARKET RENT CONCLUSION</x:t>
        </x:is>
      </x:c>
      <x:c r="C18" s="162" t="n"/>
      <x:c r="D18" s="162" t="n"/>
      <x:c r="E18" s="162" t="n"/>
      <x:c r="F18" s="162" t="n"/>
      <x:c r="G18" s="162" t="n"/>
      <x:c r="H18" s="162" t="n"/>
      <x:c r="I18" s="162" t="n"/>
      <x:c r="J18" s="163" t="n"/>
    </x:row>
    <x:row r="19" s="160" customFormat="1" ht="28.200000762939453" customHeight="1">
      <x:c r="B19" s="56" t="inlineStr">
        <x:is>
          <x:t xml:space="preserve">Range of Comparable Rates:</x:t>
        </x:is>
      </x:c>
      <x:c r="C19" s="56" t="n"/>
      <x:c r="D19" s="56" t="n"/>
      <x:c r="E19" s="56" t="n"/>
      <x:c r="F19" s="56" t="n"/>
      <x:c r="G19" s="56" t="n"/>
      <x:c r="H19" s="56" t="n"/>
      <x:c r="I19" s="56" t="n"/>
      <x:c r="J19" s="56" t="n"/>
    </x:row>
    <x:row r="20" s="160" customFormat="1" ht="35.400001525878906" customHeight="1">
      <x:c r="B20" s="198" t="inlineStr">
        <x:is>
          <x:t xml:space="preserve">Most Comparable Comps </x:t>
        </x:is>
      </x:c>
      <x:c r="C20" s="58" t="n"/>
      <x:c r="D20" s="58" t="n"/>
      <x:c r="E20" s="58" t="n"/>
      <x:c r="F20" s="58" t="n"/>
      <x:c r="G20" s="58" t="n"/>
      <x:c r="H20" s="58" t="n"/>
      <x:c r="I20" s="58" t="n"/>
      <x:c r="J20" s="58" t="n"/>
    </x:row>
    <x:row r="21" s="160" customFormat="1" ht="35.400001525878906" customHeight="1">
      <x:c r="B21" s="58" t="inlineStr">
        <x:is>
          <x:t xml:space="preserve">Size Adjustment:</x:t>
        </x:is>
      </x:c>
      <x:c r="C21" s="58" t="n"/>
      <x:c r="D21" s="58" t="n"/>
      <x:c r="E21" s="58" t="n"/>
      <x:c r="F21" s="58" t="n"/>
      <x:c r="G21" s="58" t="n"/>
      <x:c r="H21" s="58" t="n"/>
      <x:c r="I21" s="58" t="n"/>
      <x:c r="J21" s="58" t="n"/>
    </x:row>
    <x:row r="22" s="160" customFormat="1" ht="37.20000076293945" customHeight="1">
      <x:c r="B22" s="56" t="inlineStr">
        <x:is>
          <x:t xml:space="preserve">Concluded Market Rent:</x:t>
        </x:is>
      </x:c>
      <x:c r="C22" s="56" t="n"/>
      <x:c r="D22" s="56" t="n"/>
      <x:c r="E22" s="56" t="n"/>
      <x:c r="F22" s="56" t="n"/>
      <x:c r="G22" s="56" t="n"/>
      <x:c r="H22" s="56" t="n"/>
      <x:c r="I22" s="56" t="n"/>
      <x:c r="J22" s="56" t="n"/>
    </x:row>
    <x:row r="23" s="160" customFormat="1" ht="6" customHeight="1"/>
    <x:row r="24" s="160" customFormat="1" ht="13.949999809265137" customHeight="1">
      <x:c r="B24" s="62" t="inlineStr">
        <x:is>
          <x:t xml:space="preserve">Color Key:</x:t>
        </x:is>
      </x:c>
      <x:c r="C24" s="62" t="inlineStr">
        <x:is>
          <x:t xml:space="preserve">Superior</x:t>
        </x:is>
      </x:c>
      <x:c r="D24" s="62" t="inlineStr">
        <x:is>
          <x:t xml:space="preserve">Similar</x:t>
        </x:is>
      </x:c>
      <x:c r="E24" s="62" t="inlineStr">
        <x:is>
          <x:t xml:space="preserve">Inferior</x:t>
        </x:is>
      </x:c>
      <x:c r="F24" s="62" t="n"/>
      <x:c r="G24" s="62" t="n"/>
      <x:c r="H24" s="62" t="n"/>
      <x:c r="I24" s="62" t="n"/>
      <x:c r="J24" s="62" t="n"/>
    </x:row>
  </x:sheetData>
  <x:mergeCells>
    <x:mergeCell ref="B18:J18"/>
    <x:mergeCell ref="B3:J3"/>
    <x:mergeCell ref="B2:J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3.199999809265137"/>
  <x:cols>
    <x:col min="1" max="1" width="2" style="160" customWidth="1"/>
    <x:col min="2" max="2" width="8" style="160" customWidth="1"/>
    <x:col min="3" max="3" width="28" style="160" customWidth="1"/>
    <x:col min="4" max="4" width="12" style="160" customWidth="1"/>
    <x:col min="5" max="7" width="14" style="160" customWidth="1"/>
    <x:col min="8" max="10" width="12" style="160" customWidth="1"/>
  </x:cols>
  <x:sheetData>
    <x:row r="1" s="160" customFormat="1" ht="6" customHeight="1"/>
    <x:row r="2" s="160" customFormat="1" ht="18" customHeight="1">
      <x:c r="B2" s="204" t="inlineStr">
        <x:is>
          <x:t xml:space="preserve">SUBJECT PROPERTY — RENT ROLL</x:t>
        </x:is>
      </x:c>
      <x:c r="C2" s="162" t="n"/>
      <x:c r="D2" s="162" t="n"/>
      <x:c r="E2" s="162" t="n"/>
      <x:c r="F2" s="162" t="n"/>
      <x:c r="G2" s="162" t="n"/>
      <x:c r="H2" s="162" t="n"/>
      <x:c r="I2" s="162" t="n"/>
      <x:c r="J2" s="163" t="n"/>
    </x:row>
    <x:row r="3" s="160" customFormat="1" ht="16.049999237060547" customHeight="1">
      <x:c r="B3" s="37" t="inlineStr">
        <x:is>
          <x:t xml:space="preserve">Unit</x:t>
        </x:is>
      </x:c>
      <x:c r="C3" s="37" t="inlineStr">
        <x:is>
          <x:t xml:space="preserve">Tenant</x:t>
        </x:is>
      </x:c>
      <x:c r="D3" s="37" t="inlineStr">
        <x:is>
          <x:t xml:space="preserve">Size (SF)</x:t>
        </x:is>
      </x:c>
      <x:c r="E3" s="37" t="inlineStr">
        <x:is>
          <x:t xml:space="preserve">Monthly Rent</x:t>
        </x:is>
      </x:c>
      <x:c r="F3" s="37" t="inlineStr">
        <x:is>
          <x:t xml:space="preserve">Annual Rent</x:t>
        </x:is>
      </x:c>
      <x:c r="G3" s="37" t="inlineStr">
        <x:is>
          <x:t xml:space="preserve">Rate ($/SF)</x:t>
        </x:is>
      </x:c>
      <x:c r="H3" s="37" t="inlineStr">
        <x:is>
          <x:t xml:space="preserve">Lease Start</x:t>
        </x:is>
      </x:c>
      <x:c r="I3" s="37" t="inlineStr">
        <x:is>
          <x:t xml:space="preserve">Lease End</x:t>
        </x:is>
      </x:c>
      <x:c r="J3" s="37" t="n"/>
    </x:row>
    <x:row r="4" s="160" customFormat="1" ht="15" customHeight="1">
      <x:c r="B4" s="56" t="n"/>
      <x:c r="C4" s="56" t="n"/>
      <x:c r="D4" s="74" t="n"/>
      <x:c r="E4" s="75" t="n"/>
      <x:c r="F4" s="75" t="n"/>
      <x:c r="G4" s="75" t="n"/>
      <x:c r="H4" s="96" t="n"/>
      <x:c r="I4" s="96" t="n"/>
      <x:c r="J4" s="57" t="n"/>
    </x:row>
    <x:row r="5" s="160" customFormat="1" ht="15" customHeight="1">
      <x:c r="B5" s="58" t="n"/>
      <x:c r="C5" s="58" t="n"/>
      <x:c r="D5" s="77" t="n"/>
      <x:c r="E5" s="78" t="n"/>
      <x:c r="F5" s="78" t="n"/>
      <x:c r="G5" s="78" t="n"/>
      <x:c r="H5" s="97" t="n"/>
      <x:c r="I5" s="97" t="n"/>
      <x:c r="J5" s="59" t="n"/>
    </x:row>
    <x:row r="6" s="160" customFormat="1" ht="15" customHeight="1">
      <x:c r="B6" s="56" t="n"/>
      <x:c r="C6" s="56" t="n"/>
      <x:c r="D6" s="74" t="n"/>
      <x:c r="E6" s="75" t="n"/>
      <x:c r="F6" s="75" t="n"/>
      <x:c r="G6" s="75" t="n"/>
      <x:c r="H6" s="96" t="n"/>
      <x:c r="I6" s="96" t="n"/>
      <x:c r="J6" s="57" t="n"/>
    </x:row>
    <x:row r="7" s="160" customFormat="1" ht="15" customHeight="1">
      <x:c r="B7" s="58" t="n"/>
      <x:c r="C7" s="58" t="n"/>
      <x:c r="D7" s="77" t="n"/>
      <x:c r="E7" s="78" t="n"/>
      <x:c r="F7" s="78" t="n"/>
      <x:c r="G7" s="78" t="n"/>
      <x:c r="H7" s="97" t="n"/>
      <x:c r="I7" s="97" t="n"/>
      <x:c r="J7" s="59" t="n"/>
    </x:row>
    <x:row r="8" s="160" customFormat="1" ht="15" customHeight="1">
      <x:c r="B8" s="56" t="n"/>
      <x:c r="C8" s="56" t="n"/>
      <x:c r="D8" s="74" t="n"/>
      <x:c r="E8" s="75" t="n"/>
      <x:c r="F8" s="75" t="n"/>
      <x:c r="G8" s="75" t="n"/>
      <x:c r="H8" s="96" t="n"/>
      <x:c r="I8" s="96" t="n"/>
      <x:c r="J8" s="57" t="n"/>
    </x:row>
    <x:row r="9" s="160" customFormat="1" ht="15" customHeight="1">
      <x:c r="B9" s="58" t="n"/>
      <x:c r="C9" s="58" t="n"/>
      <x:c r="D9" s="77" t="n"/>
      <x:c r="E9" s="78" t="n"/>
      <x:c r="F9" s="78" t="n"/>
      <x:c r="G9" s="78" t="n"/>
      <x:c r="H9" s="97" t="n"/>
      <x:c r="I9" s="97" t="n"/>
      <x:c r="J9" s="59" t="n"/>
    </x:row>
    <x:row r="10" s="160" customFormat="1" ht="15" customHeight="1">
      <x:c r="B10" s="56" t="n"/>
      <x:c r="C10" s="56" t="n"/>
      <x:c r="D10" s="74" t="n"/>
      <x:c r="E10" s="75" t="n"/>
      <x:c r="F10" s="75" t="n"/>
      <x:c r="G10" s="75" t="n"/>
      <x:c r="H10" s="96" t="n"/>
      <x:c r="I10" s="96" t="n"/>
      <x:c r="J10" s="57" t="n"/>
    </x:row>
    <x:row r="11" s="160" customFormat="1" ht="15" customHeight="1">
      <x:c r="B11" s="58" t="n"/>
      <x:c r="C11" s="58" t="n"/>
      <x:c r="D11" s="77" t="n"/>
      <x:c r="E11" s="78" t="n"/>
      <x:c r="F11" s="78" t="n"/>
      <x:c r="G11" s="78" t="n"/>
      <x:c r="H11" s="97" t="n"/>
      <x:c r="I11" s="97" t="n"/>
      <x:c r="J11" s="59" t="n"/>
    </x:row>
    <x:row r="12" s="160" customFormat="1" ht="15" customHeight="1">
      <x:c r="B12" s="56" t="n"/>
      <x:c r="C12" s="56" t="n"/>
      <x:c r="D12" s="74" t="n"/>
      <x:c r="E12" s="75" t="n"/>
      <x:c r="F12" s="75" t="n"/>
      <x:c r="G12" s="75" t="n"/>
      <x:c r="H12" s="96" t="n"/>
      <x:c r="I12" s="96" t="n"/>
      <x:c r="J12" s="57" t="n"/>
    </x:row>
    <x:row r="13" s="160" customFormat="1" ht="16.049999237060547" customHeight="1">
      <x:c r="B13" s="60" t="inlineStr">
        <x:is>
          <x:t xml:space="preserve">TOTALS / AVERAGES</x:t>
        </x:is>
      </x:c>
      <x:c r="C13" s="61" t="n"/>
      <x:c r="D13" s="92" t="n"/>
      <x:c r="E13" s="98" t="n"/>
      <x:c r="F13" s="98" t="n"/>
      <x:c r="G13" s="61" t="n"/>
      <x:c r="H13" s="61" t="n"/>
      <x:c r="I13" s="61" t="n"/>
      <x:c r="J13" s="61" t="n"/>
    </x:row>
    <x:row r="14" s="160" customFormat="1" ht="15" customHeight="1">
      <x:c r="B14" s="62" t="n"/>
      <x:c r="C14" s="63" t="inlineStr">
        <x:is>
          <x:t xml:space="preserve">Occupied Only</x:t>
        </x:is>
      </x:c>
      <x:c r="D14" s="101" t="n"/>
      <x:c r="E14" s="102" t="n"/>
      <x:c r="F14" s="102" t="n"/>
      <x:c r="G14" s="64" t="n"/>
      <x:c r="H14" s="63" t="n"/>
      <x:c r="I14" s="63" t="n"/>
      <x:c r="J14" s="63" t="n"/>
    </x:row>
  </x:sheetData>
  <x:mergeCells>
    <x:mergeCell ref="B2:J2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3.199999809265137"/>
  <x:cols>
    <x:col min="1" max="1" width="2" style="160" customWidth="1"/>
    <x:col min="2" max="2" width="26" style="160" customWidth="1"/>
    <x:col min="3" max="3" width="21" style="160" customWidth="1"/>
    <x:col min="4" max="4" width="16" style="160" customWidth="1"/>
    <x:col min="5" max="5" width="25" style="160" customWidth="1"/>
    <x:col min="6" max="6" width="25.109375" style="160" customWidth="1"/>
    <x:col min="7" max="7" width="16" style="160" customWidth="1"/>
    <x:col min="8" max="8" width="23" style="160" customWidth="1"/>
    <x:col min="9" max="9" width="12" style="160" customWidth="1"/>
  </x:cols>
  <x:sheetData>
    <x:row r="1" s="160" customFormat="1" ht="6" customHeight="1"/>
    <x:row r="2" s="160" customFormat="1" ht="18" customHeight="1">
      <x:c r="B2" s="204" t="inlineStr">
        <x:is>
          <x:t xml:space="preserve">OPERATING EXPENSE COMPARISON</x:t>
        </x:is>
      </x:c>
      <x:c r="C2" s="162" t="n"/>
      <x:c r="D2" s="162" t="n"/>
      <x:c r="E2" s="162" t="n"/>
      <x:c r="F2" s="162" t="n"/>
      <x:c r="G2" s="162" t="n"/>
      <x:c r="H2" s="162" t="n"/>
      <x:c r="I2" s="163" t="n"/>
    </x:row>
    <x:row r="3" s="160" customFormat="1" ht="28.049999237060547" customHeight="1">
      <x:c r="B3" s="200" t="inlineStr">
        <x:is>
          <x:t xml:space="preserve">Benchmarks from CoStar/BOMA survey data. Subject estimates derived from market benchmarks and appraiser judgment. Values feed Income Summary.</x:t>
        </x:is>
      </x:c>
      <x:c r="C3" s="162" t="n"/>
      <x:c r="D3" s="162" t="n"/>
      <x:c r="E3" s="162" t="n"/>
      <x:c r="F3" s="162" t="n"/>
      <x:c r="G3" s="162" t="n"/>
      <x:c r="H3" s="162" t="n"/>
      <x:c r="I3" s="163" t="n"/>
    </x:row>
    <x:row r="4" s="160" customFormat="1" ht="6" customHeight="1"/>
    <x:row r="5" s="160" customFormat="1" ht="30" customHeight="1">
      <x:c r="B5" s="37" t="inlineStr">
        <x:is>
          <x:t xml:space="preserve">Expense Category</x:t>
        </x:is>
      </x:c>
      <x:c r="C5" s="37" t="str">
        <x:v>Demo North
$/SF</x:v>
      </x:c>
      <x:c r="D5" s="37" t="str">
        <x:v>Demo North
Subj. Estimate</x:v>
      </x:c>
      <x:c r="E5" s="37" t="str">
        <x:v>Test Metro Mkt
$/SF</x:v>
      </x:c>
      <x:c r="F5" s="37" t="str">
        <x:v>Test Metro Mkt
Subj. Estimate</x:v>
      </x:c>
      <x:c r="G5" s="37" t="inlineStr">
        <x:is>
          <x:t xml:space="preserve">Subject
Concluded $/SF</x:t>
        </x:is>
      </x:c>
      <x:c r="H5" s="37" t="inlineStr">
        <x:is>
          <x:t xml:space="preserve">Subject
Concluded Annual</x:t>
        </x:is>
      </x:c>
      <x:c r="I5" s="37" t="n"/>
    </x:row>
    <x:row r="6" s="160" customFormat="1" ht="15" customHeight="1">
      <x:c r="B6" s="56" t="inlineStr">
        <x:is>
          <x:t xml:space="preserve">Management</x:t>
        </x:is>
      </x:c>
      <x:c r="C6" s="75" t="n">
        <x:v>0.36</x:v>
      </x:c>
      <x:c r="D6" s="75" t="n">
        <x:v>8160.48</x:v>
      </x:c>
      <x:c r="E6" s="75" t="n">
        <x:v>0.62</x:v>
      </x:c>
      <x:c r="F6" s="75" t="n">
        <x:v>14054.16</x:v>
      </x:c>
      <x:c r="G6" s="103" t="inlineStr">
        <x:is>
          <x:t xml:space="preserve">% of EGI</x:t>
        </x:is>
      </x:c>
      <x:c r="H6" s="57" t="inlineStr">
        <x:is>
          <x:t xml:space="preserve">(formula-driven in Income Summary)</x:t>
        </x:is>
      </x:c>
      <x:c r="I6" s="57" t="n"/>
    </x:row>
    <x:row r="7" s="160" customFormat="1" ht="15" customHeight="1">
      <x:c r="B7" s="58" t="inlineStr">
        <x:is>
          <x:t xml:space="preserve">Ad Valorem Taxes</x:t>
        </x:is>
      </x:c>
      <x:c r="C7" s="78" t="n">
        <x:v>0.89</x:v>
      </x:c>
      <x:c r="D7" s="78" t="n">
        <x:v>20174.52</x:v>
      </x:c>
      <x:c r="E7" s="78" t="n">
        <x:v>1.01</x:v>
      </x:c>
      <x:c r="F7" s="78" t="n">
        <x:v>22894.68</x:v>
      </x:c>
      <x:c r="G7" s="103" t="n">
        <x:v>1.2717</x:v>
      </x:c>
      <x:c r="H7" s="85" t="n">
        <x:v>28827</x:v>
      </x:c>
      <x:c r="I7" s="59" t="n"/>
    </x:row>
    <x:row r="8" s="160" customFormat="1" ht="15" customHeight="1">
      <x:c r="B8" s="56" t="inlineStr">
        <x:is>
          <x:t xml:space="preserve">Insurance</x:t>
        </x:is>
      </x:c>
      <x:c r="C8" s="75" t="n">
        <x:v>0.47</x:v>
      </x:c>
      <x:c r="D8" s="75" t="n">
        <x:v>10653.96</x:v>
      </x:c>
      <x:c r="E8" s="75" t="n">
        <x:v>0.25</x:v>
      </x:c>
      <x:c r="F8" s="75" t="n">
        <x:v>5667</x:v>
      </x:c>
      <x:c r="G8" s="103" t="n">
        <x:v>0.3309</x:v>
      </x:c>
      <x:c r="H8" s="82" t="n">
        <x:v>7500</x:v>
      </x:c>
      <x:c r="I8" s="57" t="n"/>
    </x:row>
    <x:row r="9" s="160" customFormat="1" ht="15" customHeight="1">
      <x:c r="B9" s="58" t="inlineStr">
        <x:is>
          <x:t xml:space="preserve">Utilities</x:t>
        </x:is>
      </x:c>
      <x:c r="C9" s="78" t="n">
        <x:v>2.38</x:v>
      </x:c>
      <x:c r="D9" s="78" t="n">
        <x:v>53949.84</x:v>
      </x:c>
      <x:c r="E9" s="78" t="n">
        <x:v>2.34</x:v>
      </x:c>
      <x:c r="F9" s="78" t="n">
        <x:v>53043.12</x:v>
      </x:c>
      <x:c r="G9" s="103" t="n">
        <x:v>2.316</x:v>
      </x:c>
      <x:c r="H9" s="85" t="n">
        <x:v>52500</x:v>
      </x:c>
      <x:c r="I9" s="59" t="n"/>
    </x:row>
    <x:row r="10" s="160" customFormat="1" ht="15" customHeight="1">
      <x:c r="B10" s="56" t="inlineStr">
        <x:is>
          <x:t xml:space="preserve">Maintenance &amp; Repairs</x:t>
        </x:is>
      </x:c>
      <x:c r="C10" s="75" t="n">
        <x:v>1.94</x:v>
      </x:c>
      <x:c r="D10" s="75" t="n">
        <x:v>43975.92</x:v>
      </x:c>
      <x:c r="E10" s="75" t="n">
        <x:v>0.97</x:v>
      </x:c>
      <x:c r="F10" s="75" t="n">
        <x:v>21987.96</x:v>
      </x:c>
      <x:c r="G10" s="103" t="n">
        <x:v>0.9926</x:v>
      </x:c>
      <x:c r="H10" s="82" t="n">
        <x:v>22500</x:v>
      </x:c>
      <x:c r="I10" s="57" t="n"/>
    </x:row>
    <x:row r="11" s="160" customFormat="1" ht="15" customHeight="1">
      <x:c r="B11" s="58" t="inlineStr">
        <x:is>
          <x:t xml:space="preserve">Reserves for Replacement</x:t>
        </x:is>
      </x:c>
      <x:c r="C11" s="78" t="n">
        <x:v>0.07000000000000001</x:v>
      </x:c>
      <x:c r="D11" s="78" t="n">
        <x:v>1586.76</x:v>
      </x:c>
      <x:c r="E11" s="78" t="n">
        <x:v>0.07000000000000001</x:v>
      </x:c>
      <x:c r="F11" s="78" t="n">
        <x:v>1586.76</x:v>
      </x:c>
      <x:c r="G11" s="103" t="n">
        <x:v>0.06619999999999999</x:v>
      </x:c>
      <x:c r="H11" s="85" t="n">
        <x:v>1500</x:v>
      </x:c>
      <x:c r="I11" s="59" t="n"/>
    </x:row>
    <x:row r="12" s="160" customFormat="1" ht="15" customHeight="1">
      <x:c r="B12" s="56" t="inlineStr">
        <x:is>
          <x:t xml:space="preserve">Professional Fees &amp; Misc.</x:t>
        </x:is>
      </x:c>
      <x:c r="C12" s="75" t="n">
        <x:v>0.04</x:v>
      </x:c>
      <x:c r="D12" s="75" t="n">
        <x:v>906.72</x:v>
      </x:c>
      <x:c r="E12" s="75" t="n">
        <x:v>0.04</x:v>
      </x:c>
      <x:c r="F12" s="75" t="n">
        <x:v>906.72</x:v>
      </x:c>
      <x:c r="G12" s="103" t="n">
        <x:v>0.0441</x:v>
      </x:c>
      <x:c r="H12" s="82" t="n">
        <x:v>1000</x:v>
      </x:c>
      <x:c r="I12" s="57" t="n"/>
    </x:row>
    <x:row r="13" s="160" customFormat="1" ht="16.049999237060547" customHeight="1">
      <x:c r="B13" s="60" t="inlineStr">
        <x:is>
          <x:t xml:space="preserve">TOTALS</x:t>
        </x:is>
      </x:c>
      <x:c r="C13" s="61" t="n"/>
      <x:c r="D13" s="93" t="n">
        <x:f>SUM(D6:D12)</x:f>
        <x:v>139408.19999999998</x:v>
      </x:c>
      <x:c r="E13" s="61" t="n"/>
      <x:c r="F13" s="93" t="n">
        <x:f>SUM(F6:F12)</x:f>
        <x:v>120140.39999999998</x:v>
      </x:c>
      <x:c r="G13" s="61" t="n"/>
      <x:c r="H13" s="93" t="n">
        <x:f>SUM(H6:H12)</x:f>
        <x:v>113827</x:v>
      </x:c>
      <x:c r="I13" s="61" t="n"/>
    </x:row>
    <x:row r="14" s="160" customFormat="1" ht="28.049999237060547" customHeight="1">
      <x:c r="B14" s="207" t="inlineStr">
        <x:is>
          <x:t xml:space="preserve">Note: Management excluded from totals (percentage-based in Income Summary). Blue cells are editable inputs — update Subject Concluded Annual to adjust expense assumptions.</x:t>
        </x:is>
      </x:c>
      <x:c r="C14" s="162" t="n"/>
      <x:c r="D14" s="162" t="n"/>
      <x:c r="E14" s="162" t="n"/>
      <x:c r="F14" s="162" t="n"/>
      <x:c r="G14" s="162" t="n"/>
      <x:c r="H14" s="162" t="n"/>
      <x:c r="I14" s="163" t="n"/>
    </x:row>
  </x:sheetData>
  <x:mergeCells>
    <x:mergeCell ref="B3:I3"/>
    <x:mergeCell ref="B14:I14"/>
    <x:mergeCell ref="B2:I2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3.199999809265137"/>
  <x:cols>
    <x:col min="1" max="1" width="2" style="160" customWidth="1"/>
    <x:col min="2" max="2" width="36" style="160" customWidth="1"/>
    <x:col min="3" max="4" width="16" style="160" customWidth="1"/>
    <x:col min="5" max="5" width="12" style="160" customWidth="1"/>
  </x:cols>
  <x:sheetData>
    <x:row r="1" s="160" customFormat="1" ht="6" customHeight="1"/>
    <x:row r="2" s="160" customFormat="1" ht="18" customHeight="1">
      <x:c r="B2" s="204" t="inlineStr">
        <x:is>
          <x:t xml:space="preserve">INCOME APPROACH — DIRECT CAPITALIZATION</x:t>
        </x:is>
      </x:c>
      <x:c r="C2" s="162" t="n"/>
      <x:c r="D2" s="162" t="n"/>
      <x:c r="E2" s="163" t="n"/>
    </x:row>
    <x:row r="3" s="160" customFormat="1" ht="16.049999237060547" customHeight="1">
      <x:c r="B3" s="37" t="inlineStr">
        <x:is>
          <x:t xml:space="preserve">Income / Expense Item</x:t>
        </x:is>
      </x:c>
      <x:c r="C3" s="37" t="inlineStr">
        <x:is>
          <x:t xml:space="preserve">Rate / Basis</x:t>
        </x:is>
      </x:c>
      <x:c r="D3" s="37" t="inlineStr">
        <x:is>
          <x:t xml:space="preserve">Amount</x:t>
        </x:is>
      </x:c>
      <x:c r="E3" s="37" t="n"/>
    </x:row>
    <x:row r="4" s="160" customFormat="1" ht="15" customHeight="1">
      <x:c r="B4" s="62" t="inlineStr">
        <x:is>
          <x:t xml:space="preserve">Income</x:t>
        </x:is>
      </x:c>
      <x:c r="C4" s="62" t="n"/>
      <x:c r="D4" s="62" t="n"/>
      <x:c r="E4" s="62" t="n"/>
    </x:row>
    <x:row r="5" s="160" customFormat="1" ht="15" customHeight="1">
      <x:c r="B5" s="56" t="inlineStr">
        <x:is>
          <x:t xml:space="preserve">Potential Gross Income</x:t>
        </x:is>
      </x:c>
      <x:c r="C5" s="104" t="n"/>
      <x:c r="D5" s="82" t="n">
        <x:f>pgi_calc!G17</x:f>
        <x:v>0</x:v>
      </x:c>
      <x:c r="E5" s="57" t="n"/>
    </x:row>
    <x:row r="6" s="160" customFormat="1" ht="15" customHeight="1">
      <x:c r="B6" s="58" t="inlineStr">
        <x:is>
          <x:t xml:space="preserve">Expense Reimbursements</x:t>
        </x:is>
      </x:c>
      <x:c r="C6" s="105" t="n"/>
      <x:c r="D6" s="106" t="n">
        <x:v>62797</x:v>
      </x:c>
      <x:c r="E6" s="59" t="n"/>
    </x:row>
    <x:row r="7" s="160" customFormat="1" ht="15" customHeight="1">
      <x:c r="B7" s="56" t="inlineStr">
        <x:is>
          <x:t xml:space="preserve">Less: Vacancy &amp; Credit Loss</x:t>
        </x:is>
      </x:c>
      <x:c r="C7" s="107" t="n">
        <x:v>0.2</x:v>
      </x:c>
      <x:c r="D7" s="82" t="n">
        <x:f>-C7*(D5+D6)</x:f>
        <x:v>-12559.400000000001</x:v>
      </x:c>
      <x:c r="E7" s="57" t="n"/>
    </x:row>
    <x:row r="8" s="160" customFormat="1" ht="15" customHeight="1">
      <x:c r="B8" s="60" t="inlineStr">
        <x:is>
          <x:t xml:space="preserve">Effective Gross Income</x:t>
        </x:is>
      </x:c>
      <x:c r="C8" s="108" t="n"/>
      <x:c r="D8" s="93" t="n">
        <x:f>D5+D6+D7</x:f>
        <x:v>50237.6</x:v>
      </x:c>
      <x:c r="E8" s="67" t="n"/>
    </x:row>
    <x:row r="9" s="160" customFormat="1" ht="15" customHeight="1">
      <x:c r="B9" s="62" t="inlineStr">
        <x:is>
          <x:t xml:space="preserve">Operating Expenses</x:t>
        </x:is>
      </x:c>
      <x:c r="C9" s="62" t="n"/>
      <x:c r="D9" s="62" t="n"/>
      <x:c r="E9" s="62" t="n"/>
    </x:row>
    <x:row r="10" s="160" customFormat="1" ht="15" customHeight="1">
      <x:c r="B10" s="56" t="inlineStr">
        <x:is>
          <x:t xml:space="preserve">    Management</x:t>
        </x:is>
      </x:c>
      <x:c r="C10" s="107" t="n">
        <x:v>0.06</x:v>
      </x:c>
      <x:c r="D10" s="82" t="n">
        <x:f>C10*D8</x:f>
        <x:v>3014.256</x:v>
      </x:c>
      <x:c r="E10" s="57" t="n"/>
    </x:row>
    <x:row r="11" s="160" customFormat="1" ht="15" customHeight="1">
      <x:c r="B11" s="58" t="inlineStr">
        <x:is>
          <x:t xml:space="preserve">    Ad Valorem Taxes</x:t>
        </x:is>
      </x:c>
      <x:c r="C11" s="105" t="n"/>
      <x:c r="D11" s="85" t="n">
        <x:f>expense_comp!H8</x:f>
        <x:v>7500</x:v>
      </x:c>
      <x:c r="E11" s="59" t="n"/>
    </x:row>
    <x:row r="12" s="160" customFormat="1" ht="15" customHeight="1">
      <x:c r="B12" s="56" t="inlineStr">
        <x:is>
          <x:t xml:space="preserve">    Insurance</x:t>
        </x:is>
      </x:c>
      <x:c r="C12" s="104" t="n"/>
      <x:c r="D12" s="82" t="n">
        <x:f>expense_comp!H9</x:f>
        <x:v>52500</x:v>
      </x:c>
      <x:c r="E12" s="57" t="n"/>
    </x:row>
    <x:row r="13" s="160" customFormat="1" ht="15" customHeight="1">
      <x:c r="B13" s="58" t="inlineStr">
        <x:is>
          <x:t xml:space="preserve">    Utilities</x:t>
        </x:is>
      </x:c>
      <x:c r="C13" s="105" t="n"/>
      <x:c r="D13" s="85" t="n">
        <x:f>expense_comp!H10</x:f>
        <x:v>22500</x:v>
      </x:c>
      <x:c r="E13" s="59" t="n"/>
    </x:row>
    <x:row r="14" s="160" customFormat="1" ht="15" customHeight="1">
      <x:c r="B14" s="56" t="inlineStr">
        <x:is>
          <x:t xml:space="preserve">    Maintenance &amp; Repairs</x:t>
        </x:is>
      </x:c>
      <x:c r="C14" s="104" t="n"/>
      <x:c r="D14" s="82" t="n">
        <x:f>expense_comp!H11</x:f>
        <x:v>1500</x:v>
      </x:c>
      <x:c r="E14" s="57" t="n"/>
    </x:row>
    <x:row r="15" s="160" customFormat="1" ht="15" customHeight="1">
      <x:c r="B15" s="58" t="inlineStr">
        <x:is>
          <x:t xml:space="preserve">    Reserves for Replacement</x:t>
        </x:is>
      </x:c>
      <x:c r="C15" s="105" t="n"/>
      <x:c r="D15" s="85" t="n">
        <x:f>expense_comp!H12</x:f>
        <x:v>1000</x:v>
      </x:c>
      <x:c r="E15" s="59" t="n"/>
    </x:row>
    <x:row r="16" s="160" customFormat="1" ht="15" customHeight="1">
      <x:c r="B16" s="56" t="inlineStr">
        <x:is>
          <x:t xml:space="preserve">    Professional Fees &amp; Misc.</x:t>
        </x:is>
      </x:c>
      <x:c r="C16" s="104" t="n"/>
      <x:c r="D16" s="82" t="n">
        <x:f>expense_comp!H13</x:f>
        <x:v>113827</x:v>
      </x:c>
      <x:c r="E16" s="57" t="n"/>
    </x:row>
    <x:row r="17" s="160" customFormat="1" ht="16.049999237060547" customHeight="1">
      <x:c r="B17" s="60" t="inlineStr">
        <x:is>
          <x:t xml:space="preserve">Total Operating Expenses</x:t>
        </x:is>
      </x:c>
      <x:c r="C17" s="109" t="n">
        <x:f>D17/D8</x:f>
        <x:v>4.017732853480262</x:v>
      </x:c>
      <x:c r="D17" s="93" t="n">
        <x:f>SUM(D10:D16)</x:f>
        <x:v>201841.256</x:v>
      </x:c>
      <x:c r="E17" s="61" t="n"/>
    </x:row>
    <x:row r="18" s="160" customFormat="1" ht="18" customHeight="1">
      <x:c r="B18" s="71" t="inlineStr">
        <x:is>
          <x:t xml:space="preserve">Net Operating Income</x:t>
        </x:is>
      </x:c>
      <x:c r="C18" s="166" t="n"/>
      <x:c r="D18" s="110" t="n">
        <x:f>D8-D17</x:f>
        <x:v>-151603.656</x:v>
      </x:c>
      <x:c r="E18" s="73" t="n"/>
    </x:row>
    <x:row r="19" s="160" customFormat="1" ht="15" customHeight="1">
      <x:c r="B19" s="56" t="inlineStr">
        <x:is>
          <x:t xml:space="preserve">Capitalization Rate Applied</x:t>
        </x:is>
      </x:c>
      <x:c r="C19" s="111" t="n">
        <x:v>0.095</x:v>
      </x:c>
      <x:c r="D19" s="57" t="n"/>
      <x:c r="E19" s="57" t="n"/>
    </x:row>
    <x:row r="20" s="160" customFormat="1" ht="18" customHeight="1">
      <x:c r="B20" s="71" t="inlineStr">
        <x:is>
          <x:t xml:space="preserve">Indicated Value by Income Approach</x:t>
        </x:is>
      </x:c>
      <x:c r="C20" s="110" t="n">
        <x:f>D18/C19</x:f>
        <x:v>-1595827.9578947367</x:v>
      </x:c>
      <x:c r="D20" s="166" t="n"/>
      <x:c r="E20" s="73" t="n"/>
    </x:row>
    <x:row r="21" s="160" customFormat="1" ht="16.049999237060547" customHeight="1">
      <x:c r="B21" s="60" t="inlineStr">
        <x:is>
          <x:t xml:space="preserve">Rounded Value Indication</x:t>
        </x:is>
      </x:c>
      <x:c r="C21" s="93" t="n">
        <x:f>ROUND(C20/25000,0)*25000</x:f>
        <x:v>-1600000</x:v>
      </x:c>
      <x:c r="D21" s="61" t="n"/>
      <x:c r="E21" s="61" t="n"/>
    </x:row>
    <x:row r="22" s="160" customFormat="1" ht="13.949999809265137" customHeight="1">
      <x:c r="B22" s="207" t="inlineStr">
        <x:is>
          <x:t xml:space="preserve">Note: PGI = market-derived (not actual collections). Actual collections: see subject_units tab.</x:t>
        </x:is>
      </x:c>
      <x:c r="C22" s="162" t="n"/>
      <x:c r="D22" s="162" t="n"/>
      <x:c r="E22" s="163" t="n"/>
    </x:row>
  </x:sheetData>
  <x:mergeCells>
    <x:mergeCell ref="B22:E22"/>
    <x:mergeCell ref="B2:E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ColWidth="8.6640625" defaultRowHeight="13.199999809265137"/>
  <x:cols>
    <x:col min="1" max="1" width="2" style="160" customWidth="1"/>
    <x:col min="2" max="2" width="22" style="160" customWidth="1"/>
    <x:col min="3" max="3" width="14" style="160" customWidth="1"/>
    <x:col min="4" max="4" width="24" style="160" customWidth="1"/>
    <x:col min="5" max="5" width="36" style="160" customWidth="1"/>
    <x:col min="6" max="6" width="13" style="160" customWidth="1"/>
    <x:col min="7" max="7" width="12" style="160" customWidth="1"/>
    <x:col min="8" max="11" width="11" style="160" customWidth="1"/>
    <x:col min="12" max="12" width="13" style="160" customWidth="1"/>
  </x:cols>
  <x:sheetData>
    <x:row r="2" s="160" customFormat="1" ht="19.5" customHeight="1">
      <x:c r="B2" s="203" t="inlineStr">
        <x:is>
          <x:t xml:space="preserve">OUTPUTS — SALES COMPARISON APPROACH</x:t>
        </x:is>
      </x:c>
    </x:row>
    <x:row r="3" s="160" customFormat="1" ht="15" customHeight="1">
      <x:c r="B3" s="2" t="inlineStr">
        <x:is>
          <x:t xml:space="preserve">Placeholder</x:t>
        </x:is>
      </x:c>
      <x:c r="C3" s="2" t="inlineStr">
        <x:is>
          <x:t xml:space="preserve">Raw Value</x:t>
        </x:is>
      </x:c>
      <x:c r="D3" s="2" t="inlineStr">
        <x:is>
          <x:t xml:space="preserve">Report Format (→ Word)</x:t>
        </x:is>
      </x:c>
      <x:c r="E3" s="2" t="inlineStr">
        <x:is>
          <x:t xml:space="preserve">Notes</x:t>
        </x:is>
      </x:c>
    </x:row>
    <x:row r="4" s="160" customFormat="1" ht="15" customHeight="1">
      <x:c r="B4" s="211" t="inlineStr">
        <x:is>
          <x:t xml:space="preserve">Summary Statistics</x:t>
        </x:is>
      </x:c>
    </x:row>
    <x:row r="5" s="160" customFormat="1" ht="15" customHeight="1">
      <x:c r="B5" s="11" t="inlineStr">
        <x:is>
          <x:t xml:space="preserve">SCA_COMP_UNIT_LOW</x:t>
        </x:is>
      </x:c>
      <x:c r="C5" s="4" t="e">
        <x:f>MIN(sales!G9:G15)</x:f>
        <x:v>#DIV/0!</x:v>
      </x:c>
      <x:c r="D5" s="5" t="e">
        <x:f>"$"&amp;TEXT(C5,"#,##0.00")&amp;" per SF"</x:f>
        <x:v>#DIV/0!</x:v>
      </x:c>
      <x:c r="E5" s="12" t="inlineStr">
        <x:is>
          <x:t xml:space="preserve">Unadj. low $/SF</x:t>
        </x:is>
      </x:c>
    </x:row>
    <x:row r="6" s="160" customFormat="1" ht="15" customHeight="1">
      <x:c r="B6" s="11" t="inlineStr">
        <x:is>
          <x:t xml:space="preserve">SCA_COMP_UNIT_HIGH</x:t>
        </x:is>
      </x:c>
      <x:c r="C6" s="4" t="e">
        <x:f>MAX(sales!G9:G15)</x:f>
        <x:v>#DIV/0!</x:v>
      </x:c>
      <x:c r="D6" s="5" t="e">
        <x:f>"$"&amp;TEXT(C6,"#,##0.00")&amp;" per SF"</x:f>
        <x:v>#DIV/0!</x:v>
      </x:c>
      <x:c r="E6" s="12" t="inlineStr">
        <x:is>
          <x:t xml:space="preserve">Unadj. high $/SF</x:t>
        </x:is>
      </x:c>
    </x:row>
    <x:row r="7" s="160" customFormat="1" ht="15" customHeight="1">
      <x:c r="B7" s="11" t="inlineStr">
        <x:is>
          <x:t xml:space="preserve">SCA_COMP_UNIT_MEDIAN</x:t>
        </x:is>
      </x:c>
      <x:c r="C7" s="4" t="e">
        <x:f>MEDIAN(sales!G9:G15)</x:f>
        <x:v>#DIV/0!</x:v>
      </x:c>
      <x:c r="D7" s="5" t="e">
        <x:f>"$"&amp;TEXT(C7,"#,##0.00")&amp;" per SF"</x:f>
        <x:v>#DIV/0!</x:v>
      </x:c>
      <x:c r="E7" s="12" t="inlineStr">
        <x:is>
          <x:t xml:space="preserve">Unadj. median $/SF</x:t>
        </x:is>
      </x:c>
    </x:row>
    <x:row r="8" s="160" customFormat="1" ht="15" customHeight="1">
      <x:c r="B8" s="11" t="inlineStr">
        <x:is>
          <x:t xml:space="preserve">SCA_ADJ_UNIT_LOW</x:t>
        </x:is>
      </x:c>
      <x:c r="C8" s="4" t="e">
        <x:f>MIN(sales!J20:J26)</x:f>
        <x:v>#VALUE!</x:v>
      </x:c>
      <x:c r="D8" s="5" t="e">
        <x:f>"$"&amp;TEXT(C8,"#,##0.00")&amp;" per SF"</x:f>
        <x:v>#VALUE!</x:v>
      </x:c>
      <x:c r="E8" s="12" t="inlineStr">
        <x:is>
          <x:t xml:space="preserve">Indicated low $/SF (adj.)</x:t>
        </x:is>
      </x:c>
    </x:row>
    <x:row r="9" s="160" customFormat="1" ht="15" customHeight="1">
      <x:c r="B9" s="11" t="inlineStr">
        <x:is>
          <x:t xml:space="preserve">SCA_ADJ_UNIT_HIGH</x:t>
        </x:is>
      </x:c>
      <x:c r="C9" s="4" t="e">
        <x:f>MAX(sales!J20:J26)</x:f>
        <x:v>#VALUE!</x:v>
      </x:c>
      <x:c r="D9" s="5" t="e">
        <x:f>"$"&amp;TEXT(C9,"#,##0.00")&amp;" per SF"</x:f>
        <x:v>#VALUE!</x:v>
      </x:c>
      <x:c r="E9" s="12" t="inlineStr">
        <x:is>
          <x:t xml:space="preserve">Indicated high $/SF (adj.)</x:t>
        </x:is>
      </x:c>
    </x:row>
    <x:row r="10" s="160" customFormat="1" ht="15" customHeight="1">
      <x:c r="B10" s="11" t="inlineStr">
        <x:is>
          <x:t xml:space="preserve">SCA_ADJ_UNIT_MEDIAN</x:t>
        </x:is>
      </x:c>
      <x:c r="C10" s="4" t="e">
        <x:f>MEDIAN(sales!J20:J26)</x:f>
        <x:v>#VALUE!</x:v>
      </x:c>
      <x:c r="D10" s="5" t="e">
        <x:f>"$"&amp;TEXT(C10,"#,##0.00")&amp;" per SF"</x:f>
        <x:v>#VALUE!</x:v>
      </x:c>
      <x:c r="E10" s="12" t="inlineStr">
        <x:is>
          <x:t xml:space="preserve">Indicated median $/SF (adj.)</x:t>
        </x:is>
      </x:c>
    </x:row>
    <x:row r="11" s="160" customFormat="1" ht="15" customHeight="1">
      <x:c r="B11" s="211" t="inlineStr">
        <x:is>
          <x:t xml:space="preserve">Report Placeholders</x:t>
        </x:is>
      </x:c>
    </x:row>
    <x:row r="12" s="160" customFormat="1" ht="15" customHeight="1">
      <x:c r="B12" s="2" t="inlineStr">
        <x:is>
          <x:t xml:space="preserve">Placeholder</x:t>
        </x:is>
      </x:c>
      <x:c r="C12" s="2" t="inlineStr">
        <x:is>
          <x:t xml:space="preserve">Raw Value</x:t>
        </x:is>
      </x:c>
      <x:c r="D12" s="2" t="inlineStr">
        <x:is>
          <x:t xml:space="preserve">Report Format (→ Word)</x:t>
        </x:is>
      </x:c>
      <x:c r="E12" s="2" t="inlineStr">
        <x:is>
          <x:t xml:space="preserve">Notes</x:t>
        </x:is>
      </x:c>
    </x:row>
    <x:row r="13" s="160" customFormat="1" ht="15" customHeight="1">
      <x:c r="B13" s="11" t="inlineStr">
        <x:is>
          <x:t xml:space="preserve">SCA_CONCLUDED_PSF</x:t>
        </x:is>
      </x:c>
      <x:c r="C13" s="4" t="n">
        <x:f>sales!C56</x:f>
        <x:v>0</x:v>
      </x:c>
      <x:c r="D13" s="5" t="str">
        <x:f>"$"&amp;TEXT(C13,"#,##0.00")&amp;" per SF"</x:f>
        <x:v>$0.00 per SF</x:v>
      </x:c>
      <x:c r="E13" s="12" t="inlineStr">
        <x:is>
          <x:t xml:space="preserve">Concluded $/SF → multiply by subject GBA</x:t>
        </x:is>
      </x:c>
    </x:row>
    <x:row r="14" s="160" customFormat="1" ht="15" customHeight="1">
      <x:c r="B14" s="11" t="inlineStr">
        <x:is>
          <x:t xml:space="preserve">SCA_VALUE</x:t>
        </x:is>
      </x:c>
      <x:c r="C14" s="8" t="n">
        <x:f>sales!D56</x:f>
        <x:v>0</x:v>
      </x:c>
      <x:c r="D14" s="5" t="str">
        <x:f>"$"&amp;TEXT(C14,"#,##0")</x:f>
        <x:v>$0</x:v>
      </x:c>
      <x:c r="E14" s="12" t="inlineStr">
        <x:is>
          <x:t xml:space="preserve">← Round to nearest $25,000 before reporting</x:t>
        </x:is>
      </x:c>
    </x:row>
    <x:row r="15" s="160" customFormat="1" ht="15" customHeight="1">
      <x:c r="B15" s="212" t="inlineStr">
        <x:is>
          <x:t xml:space="preserve">SCA_ADJ_UNIT_MEAN</x:t>
        </x:is>
      </x:c>
      <x:c r="C15" s="212" t="e">
        <x:f>AVERAGE(sales!J20:J26)</x:f>
        <x:v>#VALUE!</x:v>
      </x:c>
      <x:c r="D15" s="212" t="e">
        <x:f>"$"&amp;TEXT(C15,"#,##0.00")&amp;" per SF"</x:f>
        <x:v>#VALUE!</x:v>
      </x:c>
      <x:c r="E15" s="212" t="inlineStr">
        <x:is>
          <x:t xml:space="preserve">Adj. mean $/SF</x:t>
        </x:is>
      </x:c>
    </x:row>
    <x:row r="16" s="160" customFormat="1" ht="15" customHeight="1">
      <x:c r="B16" s="212" t="inlineStr">
        <x:is>
          <x:t xml:space="preserve">SCA_COMP_UNIT_MEAN</x:t>
        </x:is>
      </x:c>
      <x:c r="C16" s="212" t="e">
        <x:f>AVERAGE(sales!G9:G15)</x:f>
        <x:v>#VALUE!</x:v>
      </x:c>
      <x:c r="D16" s="212" t="e">
        <x:f>"$"&amp;TEXT(C16,"#,##0.00")&amp;" per SF"</x:f>
        <x:v>#VALUE!</x:v>
      </x:c>
      <x:c r="E16" s="212" t="inlineStr">
        <x:is>
          <x:t xml:space="preserve">Unadj. mean $/SF</x:t>
        </x:is>
      </x:c>
    </x:row>
    <x:row r="17" s="160" customFormat="1" ht="15" customHeight="1">
      <x:c r="B17" s="212" t="inlineStr">
        <x:is>
          <x:t xml:space="preserve">SCA_COMP_SIZE_LOW</x:t>
        </x:is>
      </x:c>
      <x:c r="C17" s="212" t="n">
        <x:f>MIN(sales!F9:F15)</x:f>
        <x:v>0</x:v>
      </x:c>
      <x:c r="D17" s="212" t="str">
        <x:f>TEXT(C17,"#,##0")&amp;" SF"</x:f>
        <x:v>0 SF</x:v>
      </x:c>
      <x:c r="E17" s="212" t="inlineStr">
        <x:is>
          <x:t xml:space="preserve">Comp size low SF</x:t>
        </x:is>
      </x:c>
    </x:row>
    <x:row r="18" s="160" customFormat="1" ht="15" customHeight="1">
      <x:c r="B18" s="212" t="inlineStr">
        <x:is>
          <x:t xml:space="preserve">SCA_COMP_SIZE_HIGH</x:t>
        </x:is>
      </x:c>
      <x:c r="C18" s="212" t="n">
        <x:f>MAX(sales!F9:F15)</x:f>
        <x:v>0</x:v>
      </x:c>
      <x:c r="D18" s="212" t="str">
        <x:f>TEXT(C18,"#,##0")&amp;" SF"</x:f>
        <x:v>0 SF</x:v>
      </x:c>
      <x:c r="E18" s="212" t="inlineStr">
        <x:is>
          <x:t xml:space="preserve">Comp size high SF</x:t>
        </x:is>
      </x:c>
    </x:row>
    <x:row r="19" s="160" customFormat="1" ht="15" customHeight="1">
      <x:c r="B19" s="212" t="inlineStr">
        <x:is>
          <x:t xml:space="preserve">SCA_COMP_SIZE_MEAN</x:t>
        </x:is>
      </x:c>
      <x:c r="C19" s="212" t="e">
        <x:f>AVERAGE(sales!F9:F15)</x:f>
        <x:v>#DIV/0!</x:v>
      </x:c>
      <x:c r="D19" s="212" t="e">
        <x:f>TEXT(C19,"#,##0")&amp;" SF"</x:f>
        <x:v>#DIV/0!</x:v>
      </x:c>
      <x:c r="E19" s="212" t="inlineStr">
        <x:is>
          <x:t xml:space="preserve">Comp size mean SF</x:t>
        </x:is>
      </x:c>
    </x:row>
    <x:row r="20" s="160" customFormat="1" ht="15" customHeight="1">
      <x:c r="B20" s="212" t="inlineStr">
        <x:is>
          <x:t xml:space="preserve">SCA_COMP_SIZE_MEDIAN</x:t>
        </x:is>
      </x:c>
      <x:c r="C20" s="212" t="e">
        <x:f>MEDIAN(sales!F9:F15)</x:f>
        <x:v>#NUM!</x:v>
      </x:c>
      <x:c r="D20" s="212" t="e">
        <x:f>TEXT(C20,"#,##0")&amp;" SF"</x:f>
        <x:v>#NUM!</x:v>
      </x:c>
      <x:c r="E20" s="212" t="inlineStr">
        <x:is>
          <x:t xml:space="preserve">Comp size median SF</x:t>
        </x:is>
      </x:c>
    </x:row>
    <x:row r="21" s="160" customFormat="1" ht="15" customHeight="1">
      <x:c r="B21" s="213" t="inlineStr">
        <x:is>
          <x:t xml:space="preserve">SCA_ADJ_NARROW_LOW</x:t>
        </x:is>
      </x:c>
      <x:c r="C21" s="213" t="n"/>
      <x:c r="D21" s="213" t="str">
        <x:f>"$"&amp;TEXT(C21,"#,##0.00")&amp;" per SF"</x:f>
        <x:v>$ per SF</x:v>
      </x:c>
      <x:c r="E21" s="213" t="inlineStr">
        <x:is>
          <x:t xml:space="preserve">Narrow range low — enter manually</x:t>
        </x:is>
      </x:c>
    </x:row>
    <x:row r="22" s="160" customFormat="1" ht="15" customHeight="1">
      <x:c r="B22" s="213" t="inlineStr">
        <x:is>
          <x:t xml:space="preserve">SCA_ADJ_NARROW_HIGH</x:t>
        </x:is>
      </x:c>
      <x:c r="C22" s="213" t="n"/>
      <x:c r="D22" s="213" t="str">
        <x:f>"$"&amp;TEXT(C22,"#,##0.00")&amp;" per SF"</x:f>
        <x:v>$ per SF</x:v>
      </x:c>
      <x:c r="E22" s="213" t="inlineStr">
        <x:is>
          <x:t xml:space="preserve">Narrow range high — enter manually</x:t>
        </x:is>
      </x:c>
    </x:row>
    <x:row r="23" s="160" customFormat="1" ht="15" customHeight="1">
      <x:c r="B23" s="213" t="inlineStr">
        <x:is>
          <x:t xml:space="preserve">SCA_ADJ_NARROW_MEAN</x:t>
        </x:is>
      </x:c>
      <x:c r="C23" s="213" t="n"/>
      <x:c r="D23" s="213" t="str">
        <x:f>"$"&amp;TEXT(C23,"#,##0.00")&amp;" per SF"</x:f>
        <x:v>$ per SF</x:v>
      </x:c>
      <x:c r="E23" s="213" t="inlineStr">
        <x:is>
          <x:t xml:space="preserve">Narrow range mean — enter manually</x:t>
        </x:is>
      </x:c>
    </x:row>
    <x:row r="24" s="160" customFormat="1" ht="15" customHeight="1">
      <x:c r="B24" s="213" t="inlineStr">
        <x:is>
          <x:t xml:space="preserve">SCA_ADJ_NARROW_MEDIAN</x:t>
        </x:is>
      </x:c>
      <x:c r="C24" s="213" t="n"/>
      <x:c r="D24" s="213" t="str">
        <x:f>"$"&amp;TEXT(C24,"#,##0.00")&amp;" per SF"</x:f>
        <x:v>$ per SF</x:v>
      </x:c>
      <x:c r="E24" s="213" t="inlineStr">
        <x:is>
          <x:t xml:space="preserve">Narrow range median — enter manually</x:t>
        </x:is>
      </x:c>
    </x:row>
    <x:row r="25" s="160" customFormat="1" ht="15" customHeight="1">
      <x:c r="B25" s="213" t="inlineStr">
        <x:is>
          <x:t xml:space="preserve">SCA_ADJ_RELEVANT_MEAN</x:t>
        </x:is>
      </x:c>
      <x:c r="C25" s="213" t="n"/>
      <x:c r="D25" s="213" t="str">
        <x:f>"$"&amp;TEXT(C25,"#,##0.00")&amp;" per SF"</x:f>
        <x:v>$ per SF</x:v>
      </x:c>
      <x:c r="E25" s="213" t="inlineStr">
        <x:is>
          <x:t xml:space="preserve">Most-relevant comps mean — enter manually</x:t>
        </x:is>
      </x:c>
    </x:row>
    <x:row r="26" s="160" customFormat="1" ht="15" customHeight="1">
      <x:c r="B26" s="213" t="inlineStr">
        <x:is>
          <x:t xml:space="preserve">SCA_ADJ_RELEVANT_MEDIAN</x:t>
        </x:is>
      </x:c>
      <x:c r="C26" s="213" t="n"/>
      <x:c r="D26" s="213" t="str">
        <x:f>"$"&amp;TEXT(C26,"#,##0.00")&amp;" per SF"</x:f>
        <x:v>$ per SF</x:v>
      </x:c>
      <x:c r="E26" s="213" t="inlineStr">
        <x:is>
          <x:t xml:space="preserve">Most-relevant comps median — enter manually</x:t>
        </x:is>
      </x:c>
    </x:row>
    <x:row r="27" s="160" customFormat="1" ht="15" customHeight="1">
      <x:c r="B27" s="213" t="inlineStr">
        <x:is>
          <x:t xml:space="preserve">SCA_QUAL_CONCLUSION</x:t>
        </x:is>
      </x:c>
      <x:c r="C27" s="213" t="n"/>
      <x:c r="D27" s="213" t="str">
        <x:f>IF(C27="","",C27)</x:f>
      </x:c>
      <x:c r="E27" s="213" t="inlineStr">
        <x:is>
          <x:t xml:space="preserve">Qualitative conclusion text — enter manually</x:t>
        </x:is>
      </x:c>
    </x:row>
    <x:row r="28" s="160" customFormat="1" ht="15" customHeight="1"/>
    <x:row r="29" s="160" customFormat="1" ht="15" customHeight="1">
      <x:c r="B29" s="159" t="inlineStr">
        <x:is>
          <x:t xml:space="preserve">OUTPUTS — CAP RATE ANALYSIS</x:t>
        </x:is>
      </x:c>
    </x:row>
    <x:row r="30" s="160" customFormat="1" ht="15" customHeight="1">
      <x:c r="B30" s="2" t="inlineStr">
        <x:is>
          <x:t xml:space="preserve">Placeholder</x:t>
        </x:is>
      </x:c>
      <x:c r="C30" s="2" t="inlineStr">
        <x:is>
          <x:t xml:space="preserve">Raw Value</x:t>
        </x:is>
      </x:c>
      <x:c r="D30" s="2" t="inlineStr">
        <x:is>
          <x:t xml:space="preserve">Report Format (→ Word)</x:t>
        </x:is>
      </x:c>
      <x:c r="E30" s="2" t="inlineStr">
        <x:is>
          <x:t xml:space="preserve">Notes</x:t>
        </x:is>
      </x:c>
    </x:row>
    <x:row r="31" s="160" customFormat="1" ht="15" customHeight="1">
      <x:c r="B31" s="170" t="inlineStr">
        <x:is>
          <x:t xml:space="preserve">Indicated Rate</x:t>
        </x:is>
      </x:c>
    </x:row>
    <x:row r="32" s="160" customFormat="1" ht="15" customHeight="1">
      <x:c r="B32" s="212" t="inlineStr">
        <x:is>
          <x:t xml:space="preserve">CAP_RATE_METHOD1</x:t>
        </x:is>
      </x:c>
      <x:c r="C32" s="214" t="str">
        <x:f>IFERROR(AVERAGE(cap_rates!F4:F7),"")</x:f>
      </x:c>
      <x:c r="D32" s="212" t="str">
        <x:f>TEXT(C32,"0.0%")</x:f>
        <x:v>0.0%</x:v>
      </x:c>
      <x:c r="E32" s="212" t="inlineStr">
        <x:is>
          <x:t xml:space="preserve">Implied from comp sales</x:t>
        </x:is>
      </x:c>
    </x:row>
    <x:row r="33" s="160" customFormat="1" ht="15" customHeight="1">
      <x:c r="B33" s="170" t="inlineStr">
        <x:is>
          <x:t xml:space="preserve">Selected Rate (Report Placeholder)</x:t>
        </x:is>
      </x:c>
    </x:row>
    <x:row r="34" s="160" customFormat="1" ht="15" customHeight="1">
      <x:c r="B34" s="2" t="inlineStr">
        <x:is>
          <x:t xml:space="preserve">Placeholder</x:t>
        </x:is>
      </x:c>
      <x:c r="C34" s="2" t="inlineStr">
        <x:is>
          <x:t xml:space="preserve">Raw Value</x:t>
        </x:is>
      </x:c>
      <x:c r="D34" s="2" t="inlineStr">
        <x:is>
          <x:t xml:space="preserve">Report Format (→ Word)</x:t>
        </x:is>
      </x:c>
      <x:c r="E34" s="2" t="inlineStr">
        <x:is>
          <x:t xml:space="preserve">Notes</x:t>
        </x:is>
      </x:c>
    </x:row>
    <x:row r="35" s="160" customFormat="1" ht="15" customHeight="1">
      <x:c r="B35" s="212" t="inlineStr">
        <x:is>
          <x:t xml:space="preserve">CAP_RATE</x:t>
        </x:is>
      </x:c>
      <x:c r="C35" s="215" t="n">
        <x:f>income_summary!C19</x:f>
        <x:v>0.095</x:v>
      </x:c>
      <x:c r="D35" s="212" t="str">
        <x:f>TEXT(C35,"0.0%")</x:f>
        <x:v>9.5%</x:v>
      </x:c>
      <x:c r="E35" s="212" t="inlineStr">
        <x:is>
          <x:t xml:space="preserve">← Set cap rate in income_summary tab (C19)</x:t>
        </x:is>
      </x:c>
    </x:row>
    <x:row r="36" s="160" customFormat="1" ht="19.5" customHeight="1"/>
    <x:row r="37" s="160" customFormat="1" ht="30" customHeight="1"/>
    <x:row r="38" s="160" customFormat="1" ht="15" customHeight="1">
      <x:c r="B38" s="159" t="inlineStr">
        <x:is>
          <x:t xml:space="preserve">PER-COMP DATA — for comp page automation</x:t>
        </x:is>
      </x:c>
    </x:row>
    <x:row r="39" s="160" customFormat="1" ht="15" customHeight="1">
      <x:c r="B39" s="14" t="inlineStr">
        <x:is>
          <x:t xml:space="preserve">Python iterates these rows (one per comp). Add/remove rows as comps change.</x:t>
        </x:is>
      </x:c>
    </x:row>
    <x:row r="40" s="160" customFormat="1" ht="15" customHeight="1">
      <x:c r="B40" s="2" t="inlineStr">
        <x:is>
          <x:t xml:space="preserve">Comp No.</x:t>
        </x:is>
      </x:c>
      <x:c r="C40" s="2" t="inlineStr">
        <x:is>
          <x:t xml:space="preserve">Sale Date</x:t>
        </x:is>
      </x:c>
      <x:c r="D40" s="2" t="inlineStr">
        <x:is>
          <x:t xml:space="preserve">Location</x:t>
        </x:is>
      </x:c>
      <x:c r="E40" s="2" t="inlineStr">
        <x:is>
          <x:t xml:space="preserve">Sale Price</x:t>
        </x:is>
      </x:c>
      <x:c r="F40" s="2" t="inlineStr">
        <x:is>
          <x:t xml:space="preserve">GBA (SF)</x:t>
        </x:is>
      </x:c>
      <x:c r="G40" s="2" t="inlineStr">
        <x:is>
          <x:t xml:space="preserve">$/SF</x:t>
        </x:is>
      </x:c>
      <x:c r="H40" s="2" t="inlineStr">
        <x:is>
          <x:t xml:space="preserve">Market Adj.</x:t>
        </x:is>
      </x:c>
      <x:c r="I40" s="2" t="inlineStr">
        <x:is>
          <x:t xml:space="preserve">Size Adj.</x:t>
        </x:is>
      </x:c>
      <x:c r="J40" s="2" t="inlineStr">
        <x:is>
          <x:t xml:space="preserve">Location Adj.</x:t>
        </x:is>
      </x:c>
      <x:c r="K40" s="2" t="inlineStr">
        <x:is>
          <x:t xml:space="preserve">Net Adj.</x:t>
        </x:is>
      </x:c>
      <x:c r="L40" s="2" t="inlineStr">
        <x:is>
          <x:t xml:space="preserve">Indicated $/SF</x:t>
        </x:is>
      </x:c>
    </x:row>
    <x:row r="41" s="160" customFormat="1" ht="15" customHeight="1">
      <x:c r="B41" s="5" t="n">
        <x:f>sales!B9</x:f>
        <x:v>1</x:v>
      </x:c>
      <x:c r="C41" s="15" t="n">
        <x:f>sales!C9</x:f>
        <x:v>0</x:v>
      </x:c>
      <x:c r="D41" s="5" t="n">
        <x:f>sales!D9</x:f>
        <x:v>0</x:v>
      </x:c>
      <x:c r="E41" s="8" t="n">
        <x:f>sales!E9</x:f>
        <x:v>0</x:v>
      </x:c>
      <x:c r="F41" s="6" t="n">
        <x:f>sales!F9</x:f>
        <x:v>0</x:v>
      </x:c>
      <x:c r="G41" s="4" t="e">
        <x:f>sales!G9</x:f>
        <x:v>#DIV/0!</x:v>
      </x:c>
      <x:c r="H41" s="7" t="n">
        <x:f>sales!D20</x:f>
        <x:v>0</x:v>
      </x:c>
      <x:c r="I41" s="7" t="n">
        <x:f>sales!G20</x:f>
        <x:v>0</x:v>
      </x:c>
      <x:c r="J41" s="7" t="n">
        <x:f>sales!H20</x:f>
        <x:v>0</x:v>
      </x:c>
      <x:c r="K41" s="7" t="n">
        <x:f>sales!I20</x:f>
        <x:v>0</x:v>
      </x:c>
      <x:c r="L41" s="4" t="e">
        <x:f>sales!J20</x:f>
        <x:v>#VALUE!</x:v>
      </x:c>
    </x:row>
    <x:row r="42" s="160" customFormat="1" ht="15" customHeight="1">
      <x:c r="B42" s="5" t="n">
        <x:f>sales!B10</x:f>
        <x:v>2</x:v>
      </x:c>
      <x:c r="C42" s="15" t="n">
        <x:f>sales!C10</x:f>
        <x:v>0</x:v>
      </x:c>
      <x:c r="D42" s="5" t="n">
        <x:f>sales!D10</x:f>
        <x:v>0</x:v>
      </x:c>
      <x:c r="E42" s="8" t="n">
        <x:f>sales!E10</x:f>
        <x:v>0</x:v>
      </x:c>
      <x:c r="F42" s="6" t="n">
        <x:f>sales!F10</x:f>
        <x:v>0</x:v>
      </x:c>
      <x:c r="G42" s="4" t="e">
        <x:f>sales!G10</x:f>
        <x:v>#DIV/0!</x:v>
      </x:c>
      <x:c r="H42" s="7" t="n">
        <x:f>sales!D21</x:f>
        <x:v>0</x:v>
      </x:c>
      <x:c r="I42" s="7" t="n">
        <x:f>sales!G21</x:f>
        <x:v>0</x:v>
      </x:c>
      <x:c r="J42" s="7" t="n">
        <x:f>sales!H21</x:f>
        <x:v>0</x:v>
      </x:c>
      <x:c r="K42" s="7" t="n">
        <x:f>sales!I21</x:f>
        <x:v>0</x:v>
      </x:c>
      <x:c r="L42" s="4" t="e">
        <x:f>sales!J21</x:f>
        <x:v>#VALUE!</x:v>
      </x:c>
    </x:row>
    <x:row r="43" s="160" customFormat="1" ht="15" customHeight="1">
      <x:c r="B43" s="5" t="n">
        <x:f>sales!B11</x:f>
        <x:v>3</x:v>
      </x:c>
      <x:c r="C43" s="15" t="n">
        <x:f>sales!C11</x:f>
        <x:v>0</x:v>
      </x:c>
      <x:c r="D43" s="5" t="n">
        <x:f>sales!D11</x:f>
        <x:v>0</x:v>
      </x:c>
      <x:c r="E43" s="8" t="n">
        <x:f>sales!E11</x:f>
        <x:v>0</x:v>
      </x:c>
      <x:c r="F43" s="6" t="n">
        <x:f>sales!F11</x:f>
        <x:v>0</x:v>
      </x:c>
      <x:c r="G43" s="4" t="e">
        <x:f>sales!G11</x:f>
        <x:v>#DIV/0!</x:v>
      </x:c>
      <x:c r="H43" s="7" t="n">
        <x:f>sales!D22</x:f>
        <x:v>0</x:v>
      </x:c>
      <x:c r="I43" s="7" t="n">
        <x:f>sales!G22</x:f>
        <x:v>0</x:v>
      </x:c>
      <x:c r="J43" s="7" t="n">
        <x:f>sales!H22</x:f>
        <x:v>0</x:v>
      </x:c>
      <x:c r="K43" s="7" t="n">
        <x:f>sales!I22</x:f>
        <x:v>0</x:v>
      </x:c>
      <x:c r="L43" s="4" t="e">
        <x:f>sales!J22</x:f>
        <x:v>#VALUE!</x:v>
      </x:c>
    </x:row>
    <x:row r="44" s="160" customFormat="1" ht="15" customHeight="1">
      <x:c r="B44" s="5" t="n">
        <x:f>sales!B12</x:f>
        <x:v>4</x:v>
      </x:c>
      <x:c r="C44" s="15" t="n">
        <x:f>sales!C12</x:f>
        <x:v>0</x:v>
      </x:c>
      <x:c r="D44" s="5" t="n">
        <x:f>sales!D12</x:f>
        <x:v>0</x:v>
      </x:c>
      <x:c r="E44" s="8" t="n">
        <x:f>sales!E12</x:f>
        <x:v>0</x:v>
      </x:c>
      <x:c r="F44" s="6" t="n">
        <x:f>sales!F12</x:f>
        <x:v>0</x:v>
      </x:c>
      <x:c r="G44" s="4" t="e">
        <x:f>sales!G12</x:f>
        <x:v>#DIV/0!</x:v>
      </x:c>
      <x:c r="H44" s="7" t="n">
        <x:f>sales!D23</x:f>
        <x:v>0</x:v>
      </x:c>
      <x:c r="I44" s="7" t="n">
        <x:f>sales!G23</x:f>
        <x:v>0</x:v>
      </x:c>
      <x:c r="J44" s="7" t="n">
        <x:f>sales!H23</x:f>
        <x:v>0</x:v>
      </x:c>
      <x:c r="K44" s="7" t="n">
        <x:f>sales!I23</x:f>
        <x:v>0</x:v>
      </x:c>
      <x:c r="L44" s="4" t="e">
        <x:f>sales!J23</x:f>
        <x:v>#VALUE!</x:v>
      </x:c>
    </x:row>
    <x:row r="45">
      <x:c r="B45" s="5" t="n">
        <x:f>sales!B13</x:f>
        <x:v>5</x:v>
      </x:c>
      <x:c r="C45" s="15" t="n">
        <x:f>sales!C13</x:f>
        <x:v>0</x:v>
      </x:c>
      <x:c r="D45" s="5" t="n">
        <x:f>sales!D13</x:f>
        <x:v>0</x:v>
      </x:c>
      <x:c r="E45" s="8" t="n">
        <x:f>sales!E13</x:f>
        <x:v>0</x:v>
      </x:c>
      <x:c r="F45" s="6" t="n">
        <x:f>sales!F13</x:f>
        <x:v>0</x:v>
      </x:c>
      <x:c r="G45" s="4" t="e">
        <x:f>sales!G13</x:f>
        <x:v>#DIV/0!</x:v>
      </x:c>
      <x:c r="H45" s="7" t="n">
        <x:f>sales!D24</x:f>
        <x:v>0</x:v>
      </x:c>
      <x:c r="I45" s="7" t="n">
        <x:f>sales!G24</x:f>
        <x:v>0</x:v>
      </x:c>
      <x:c r="J45" s="7" t="n">
        <x:f>sales!H24</x:f>
        <x:v>0</x:v>
      </x:c>
      <x:c r="K45" s="7" t="n">
        <x:f>sales!I24</x:f>
        <x:v>0</x:v>
      </x:c>
      <x:c r="L45" s="4" t="e">
        <x:f>sales!J24</x:f>
        <x:v>#VALUE!</x:v>
      </x:c>
    </x:row>
    <x:row r="46" s="160" customFormat="1" ht="19.5" customHeight="1">
      <x:c r="B46" s="5" t="n">
        <x:f>sales!B14</x:f>
        <x:v>6</x:v>
      </x:c>
      <x:c r="C46" s="15" t="n">
        <x:f>sales!C14</x:f>
        <x:v>0</x:v>
      </x:c>
      <x:c r="D46" s="5" t="n">
        <x:f>sales!D14</x:f>
        <x:v>0</x:v>
      </x:c>
      <x:c r="E46" s="8" t="n">
        <x:f>sales!E14</x:f>
        <x:v>0</x:v>
      </x:c>
      <x:c r="F46" s="6" t="n">
        <x:f>sales!F14</x:f>
        <x:v>0</x:v>
      </x:c>
      <x:c r="G46" s="4" t="e">
        <x:f>sales!G14</x:f>
        <x:v>#DIV/0!</x:v>
      </x:c>
      <x:c r="H46" s="7" t="n">
        <x:f>sales!D25</x:f>
        <x:v>0</x:v>
      </x:c>
      <x:c r="I46" s="7" t="n">
        <x:f>sales!G25</x:f>
        <x:v>0</x:v>
      </x:c>
      <x:c r="J46" s="7" t="n">
        <x:f>sales!H25</x:f>
        <x:v>0</x:v>
      </x:c>
      <x:c r="K46" s="7" t="n">
        <x:f>sales!I25</x:f>
        <x:v>0</x:v>
      </x:c>
      <x:c r="L46" s="4" t="e">
        <x:f>sales!J25</x:f>
        <x:v>#VALUE!</x:v>
      </x:c>
    </x:row>
    <x:row r="47" s="160" customFormat="1" ht="15" customHeight="1">
      <x:c r="B47" s="5" t="n">
        <x:f>sales!B15</x:f>
        <x:v>7</x:v>
      </x:c>
      <x:c r="C47" s="15" t="n">
        <x:f>sales!C15</x:f>
        <x:v>0</x:v>
      </x:c>
      <x:c r="D47" s="5" t="n">
        <x:f>sales!D15</x:f>
        <x:v>0</x:v>
      </x:c>
      <x:c r="E47" s="8" t="n">
        <x:f>sales!E15</x:f>
        <x:v>0</x:v>
      </x:c>
      <x:c r="F47" s="6" t="n">
        <x:f>sales!F15</x:f>
        <x:v>0</x:v>
      </x:c>
      <x:c r="G47" s="4" t="e">
        <x:f>sales!G15</x:f>
        <x:v>#DIV/0!</x:v>
      </x:c>
      <x:c r="H47" s="7" t="n">
        <x:f>sales!D26</x:f>
        <x:v>0</x:v>
      </x:c>
      <x:c r="I47" s="7" t="n">
        <x:f>sales!G26</x:f>
        <x:v>0</x:v>
      </x:c>
      <x:c r="J47" s="7" t="n">
        <x:f>sales!H26</x:f>
        <x:v>0</x:v>
      </x:c>
      <x:c r="K47" s="7" t="n">
        <x:f>sales!I26</x:f>
        <x:v>0</x:v>
      </x:c>
      <x:c r="L47" s="4" t="e">
        <x:f>sales!J26</x:f>
        <x:v>#VALUE!</x:v>
      </x:c>
    </x:row>
    <x:row r="48" s="160" customFormat="1" ht="15" customHeight="1"/>
    <x:row r="49">
      <x:c r="B49" s="16" t="inlineStr">
        <x:is>
          <x:t xml:space="preserve">OUTPUTS — INCOME APPROACH</x:t>
        </x:is>
      </x:c>
      <x:c r="C49" s="17" t="n"/>
      <x:c r="D49" s="17" t="n"/>
      <x:c r="E49" s="17" t="n"/>
      <x:c r="F49" s="17" t="n"/>
    </x:row>
    <x:row r="50" s="160" customFormat="1" ht="19.5" customHeight="1">
      <x:c r="B50" s="18" t="inlineStr">
        <x:is>
          <x:t xml:space="preserve">Placeholder</x:t>
        </x:is>
      </x:c>
      <x:c r="C50" s="18" t="inlineStr">
        <x:is>
          <x:t xml:space="preserve">Raw Value</x:t>
        </x:is>
      </x:c>
      <x:c r="D50" s="18" t="inlineStr">
        <x:is>
          <x:t xml:space="preserve">Report Format (→ Word)</x:t>
        </x:is>
      </x:c>
      <x:c r="E50" s="18" t="inlineStr">
        <x:is>
          <x:t xml:space="preserve">Notes</x:t>
        </x:is>
      </x:c>
    </x:row>
    <x:row r="51" s="160" customFormat="1" ht="15" customHeight="1">
      <x:c r="B51" s="212" t="inlineStr">
        <x:is>
          <x:t xml:space="preserve">PGI</x:t>
        </x:is>
      </x:c>
      <x:c r="C51" s="216" t="n">
        <x:f>income_summary!D5</x:f>
        <x:v>0</x:v>
      </x:c>
      <x:c r="D51" s="212" t="str">
        <x:f>"$"&amp;TEXT(C51,"#,##0")</x:f>
        <x:v>$0</x:v>
      </x:c>
      <x:c r="E51" s="212" t="inlineStr">
        <x:is>
          <x:t xml:space="preserve">Potential gross income</x:t>
        </x:is>
      </x:c>
    </x:row>
    <x:row r="52" s="160" customFormat="1" ht="15" customHeight="1">
      <x:c r="B52" s="212" t="inlineStr">
        <x:is>
          <x:t xml:space="preserve">PGI_MONTHLY</x:t>
        </x:is>
      </x:c>
      <x:c r="C52" s="212" t="n">
        <x:f>income_summary!D5/12</x:f>
        <x:v>0</x:v>
      </x:c>
      <x:c r="D52" s="212" t="str">
        <x:f>"$"&amp;TEXT(C52,"#,##0")</x:f>
        <x:v>$0</x:v>
      </x:c>
      <x:c r="E52" s="212" t="inlineStr">
        <x:is>
          <x:t xml:space="preserve">PGI / 12</x:t>
        </x:is>
      </x:c>
    </x:row>
    <x:row r="53" s="160" customFormat="1" ht="15" customHeight="1">
      <x:c r="B53" s="212" t="inlineStr">
        <x:is>
          <x:t xml:space="preserve">EGI</x:t>
        </x:is>
      </x:c>
      <x:c r="C53" s="216" t="n">
        <x:f>income_summary!D8</x:f>
        <x:v>50237.6</x:v>
      </x:c>
      <x:c r="D53" s="212" t="str">
        <x:f>"$"&amp;TEXT(C53,"#,##0")</x:f>
        <x:v>$50,238</x:v>
      </x:c>
      <x:c r="E53" s="212" t="inlineStr">
        <x:is>
          <x:t xml:space="preserve">Effective gross income</x:t>
        </x:is>
      </x:c>
    </x:row>
    <x:row r="54" s="160" customFormat="1" ht="15" customHeight="1">
      <x:c r="B54" s="212" t="inlineStr">
        <x:is>
          <x:t xml:space="preserve">VACANCY_RATE</x:t>
        </x:is>
      </x:c>
      <x:c r="C54" s="214" t="n">
        <x:f>income_summary!C7</x:f>
        <x:v>0.2</x:v>
      </x:c>
      <x:c r="D54" s="212" t="str">
        <x:f>TEXT(C54,"0.0%")</x:f>
        <x:v>20.0%</x:v>
      </x:c>
      <x:c r="E54" s="212" t="inlineStr">
        <x:is>
          <x:t xml:space="preserve">Applied vacancy rate</x:t>
        </x:is>
      </x:c>
    </x:row>
    <x:row r="55" s="160" customFormat="1" ht="15" customHeight="1">
      <x:c r="B55" s="212" t="inlineStr">
        <x:is>
          <x:t xml:space="preserve">NOI</x:t>
        </x:is>
      </x:c>
      <x:c r="C55" s="216" t="n">
        <x:f>income_summary!D18</x:f>
        <x:v>-151603.656</x:v>
      </x:c>
      <x:c r="D55" s="212" t="str">
        <x:f>"$"&amp;TEXT(C55,"#,##0")</x:f>
        <x:v>$-151,604</x:v>
      </x:c>
      <x:c r="E55" s="212" t="inlineStr">
        <x:is>
          <x:t xml:space="preserve">Net operating income</x:t>
        </x:is>
      </x:c>
    </x:row>
    <x:row r="56" s="160" customFormat="1" ht="15" customHeight="1">
      <x:c r="B56" s="212" t="inlineStr">
        <x:is>
          <x:t xml:space="preserve">IA_CAP_RATE</x:t>
        </x:is>
      </x:c>
      <x:c r="C56" s="215" t="n">
        <x:f>income_summary!C19</x:f>
        <x:v>0.095</x:v>
      </x:c>
      <x:c r="D56" s="212" t="str">
        <x:f>TEXT(C56,"0.0%")</x:f>
        <x:v>9.5%</x:v>
      </x:c>
      <x:c r="E56" s="212" t="inlineStr">
        <x:is>
          <x:t xml:space="preserve">Applied cap rate</x:t>
        </x:is>
      </x:c>
    </x:row>
    <x:row r="57">
      <x:c r="B57" t="inlineStr">
        <x:is>
          <x:t xml:space="preserve">LOAN_RATE</x:t>
        </x:is>
      </x:c>
    </x:row>
    <x:row r="58" s="160" customFormat="1" ht="15" customHeight="1">
      <x:c r="B58" s="212" t="inlineStr">
        <x:is>
          <x:t xml:space="preserve">IA_VALUE</x:t>
        </x:is>
      </x:c>
      <x:c r="C58" s="216" t="n">
        <x:f>income_summary!C21</x:f>
        <x:v>-1600000</x:v>
      </x:c>
      <x:c r="D58" s="212" t="str">
        <x:f>"$"&amp;TEXT(C58,"#,##0")</x:f>
        <x:v>$-1,600,000</x:v>
      </x:c>
      <x:c r="E58" s="212" t="inlineStr">
        <x:is>
          <x:t xml:space="preserve">Income approach value</x:t>
        </x:is>
      </x:c>
    </x:row>
    <x:row r="59" s="160" customFormat="1" ht="15" customHeight="1">
      <x:c r="B59" s="212" t="inlineStr">
        <x:is>
          <x:t xml:space="preserve">TOTAL_EXPENSES</x:t>
        </x:is>
      </x:c>
      <x:c r="C59" s="216" t="n">
        <x:f>income_summary!D17</x:f>
        <x:v>201841.256</x:v>
      </x:c>
      <x:c r="D59" s="212" t="str">
        <x:f>"$"&amp;TEXT(C59,"#,##0")</x:f>
        <x:v>$201,841</x:v>
      </x:c>
      <x:c r="E59" s="212" t="inlineStr">
        <x:is>
          <x:t xml:space="preserve">Total operating expenses</x:t>
        </x:is>
      </x:c>
    </x:row>
    <x:row r="61">
      <x:c r="B61" s="16" t="inlineStr">
        <x:is>
          <x:t xml:space="preserve">OUTPUTS — MARKET RENT / INCOME INPUTS</x:t>
        </x:is>
      </x:c>
      <x:c r="C61" s="17" t="n"/>
      <x:c r="D61" s="17" t="n"/>
      <x:c r="E61" s="17" t="n"/>
      <x:c r="F61" s="17" t="n"/>
    </x:row>
    <x:row r="62">
      <x:c r="B62" s="29" t="inlineStr">
        <x:is>
          <x:t xml:space="preserve">MARKET_RENT</x:t>
        </x:is>
      </x:c>
      <x:c r="C62" s="30" t="n">
        <x:f>pgi_calc!D5</x:f>
        <x:v>12</x:v>
      </x:c>
      <x:c r="D62" s="28" t="str">
        <x:f>"$"&amp;TEXT(pgi_calc!D5,"#,##0.00")&amp;"/SF"</x:f>
        <x:v>$12.00/SF</x:v>
      </x:c>
      <x:c r="E62" s="19" t="inlineStr">
        <x:is>
          <x:t xml:space="preserve">Market rent assumption (from pgi_calc tab)</x:t>
        </x:is>
      </x:c>
    </x:row>
    <x:row r="63">
      <x:c r="B63" s="29" t="inlineStr">
        <x:is>
          <x:t xml:space="preserve">MARKET_RENT_PSF</x:t>
        </x:is>
      </x:c>
      <x:c r="C63" s="30" t="n">
        <x:f>pgi_calc!D5</x:f>
        <x:v>12</x:v>
      </x:c>
      <x:c r="D63" s="28" t="str">
        <x:f>TEXT(pgi_calc!D5,"$#,##0.00")</x:f>
        <x:v>$12.00</x:v>
      </x:c>
      <x:c r="E63" s="19" t="inlineStr">
        <x:is>
          <x:t xml:space="preserve">Market rent $/SF (numeric format)</x:t>
        </x:is>
      </x:c>
    </x:row>
    <x:row r="65">
      <x:c r="B65" s="16" t="inlineStr">
        <x:is>
          <x:t xml:space="preserve">OUTPUTS — COST APPROACH</x:t>
        </x:is>
      </x:c>
      <x:c r="C65" s="17" t="n"/>
      <x:c r="D65" s="17" t="n"/>
      <x:c r="E65" s="17" t="n"/>
      <x:c r="F65" s="17" t="n"/>
    </x:row>
    <x:row r="66" s="160" customFormat="1" ht="15" customHeight="1">
      <x:c r="B66" s="212" t="inlineStr">
        <x:is>
          <x:t xml:space="preserve">LAND_VALUE_CONCLUDED</x:t>
        </x:is>
      </x:c>
      <x:c r="C66" s="216" t="n">
        <x:f>land!D26</x:f>
        <x:v>0</x:v>
      </x:c>
      <x:c r="D66" s="212" t="str">
        <x:f>"$"&amp;TEXT(C66,"#,##0")</x:f>
        <x:v>$0</x:v>
      </x:c>
      <x:c r="E66" s="212" t="inlineStr">
        <x:is>
          <x:t xml:space="preserve">Land value concluded</x:t>
        </x:is>
      </x:c>
    </x:row>
    <x:row r="67" s="160" customFormat="1" ht="15" customHeight="1">
      <x:c r="B67" s="212" t="inlineStr">
        <x:is>
          <x:t xml:space="preserve">CA_VALUE</x:t>
        </x:is>
      </x:c>
      <x:c r="C67" s="216" t="e">
        <x:f>cost!C68</x:f>
        <x:v>#VALUE!</x:v>
      </x:c>
      <x:c r="D67" s="212" t="e">
        <x:f>"$"&amp;TEXT(C67,"#,##0")</x:f>
        <x:v>#VALUE!</x:v>
      </x:c>
      <x:c r="E67" s="212" t="inlineStr">
        <x:is>
          <x:t xml:space="preserve">Cost approach rounded value</x:t>
        </x:is>
      </x:c>
    </x:row>
    <x:row r="68" s="160" customFormat="1" ht="15" customHeight="1">
      <x:c r="B68" s="212" t="inlineStr">
        <x:is>
          <x:t xml:space="preserve">COST_APPROACH_VALUE_ROUNDED</x:t>
        </x:is>
      </x:c>
      <x:c r="C68" s="212" t="e">
        <x:f>cost!C68</x:f>
        <x:v>#VALUE!</x:v>
      </x:c>
      <x:c r="D68" s="212" t="e">
        <x:f>"$"&amp;TEXT(C68,"#,##0")</x:f>
        <x:v>#VALUE!</x:v>
      </x:c>
      <x:c r="E68" s="212" t="e">
        <x:f> CA_VALUE alias</x:f>
        <x:v>#NAME?</x:v>
      </x:c>
    </x:row>
    <x:row r="69" s="160" customFormat="1" ht="15" customHeight="1">
      <x:c r="B69" s="212" t="inlineStr">
        <x:is>
          <x:t xml:space="preserve">DEPRECIATED_BLDG_COST</x:t>
        </x:is>
      </x:c>
      <x:c r="C69" s="212" t="e">
        <x:f>cost!C56</x:f>
        <x:v>#VALUE!</x:v>
      </x:c>
      <x:c r="D69" s="212" t="e">
        <x:f>"$"&amp;TEXT(C69,"#,##0")</x:f>
        <x:v>#VALUE!</x:v>
      </x:c>
      <x:c r="E69" s="212" t="inlineStr">
        <x:is>
          <x:t xml:space="preserve">Depr. building cost</x:t>
        </x:is>
      </x:c>
    </x:row>
    <x:row r="70" s="160" customFormat="1" ht="15" customHeight="1">
      <x:c r="B70" s="212" t="inlineStr">
        <x:is>
          <x:t xml:space="preserve">DEPRECIATED_SITE_IMP</x:t>
        </x:is>
      </x:c>
      <x:c r="C70" s="212" t="e">
        <x:f>cost!C61</x:f>
        <x:v>#DIV/0!</x:v>
      </x:c>
      <x:c r="D70" s="212" t="e">
        <x:f>"$"&amp;TEXT(C70,"#,##0")</x:f>
        <x:v>#DIV/0!</x:v>
      </x:c>
      <x:c r="E70" s="212" t="inlineStr">
        <x:is>
          <x:t xml:space="preserve">Depr. site improvements</x:t>
        </x:is>
      </x:c>
    </x:row>
    <x:row r="71" s="160" customFormat="1" ht="15" customHeight="1">
      <x:c r="B71" s="212" t="inlineStr">
        <x:is>
          <x:t xml:space="preserve">SITE_IMP_COST_NEW</x:t>
        </x:is>
      </x:c>
      <x:c r="C71" s="212" t="n">
        <x:f>cost!C28</x:f>
        <x:v>0</x:v>
      </x:c>
      <x:c r="D71" s="212" t="str">
        <x:f>"$"&amp;TEXT(C71,"#,##0")</x:f>
        <x:v>$0</x:v>
      </x:c>
      <x:c r="E71" s="212" t="inlineStr">
        <x:is>
          <x:t xml:space="preserve">Site improvements cost new</x:t>
        </x:is>
      </x:c>
    </x:row>
    <x:row r="72" s="160" customFormat="1" ht="15" customHeight="1">
      <x:c r="B72" s="212" t="inlineStr">
        <x:is>
          <x:t xml:space="preserve">SHORT_LIVED_DEPRECIATION_TOTAL</x:t>
        </x:is>
      </x:c>
      <x:c r="C72" s="212" t="e">
        <x:f>cost!G20</x:f>
        <x:v>#DIV/0!</x:v>
      </x:c>
      <x:c r="D72" s="212" t="e">
        <x:f>"$"&amp;TEXT(C72,"#,##0")</x:f>
        <x:v>#DIV/0!</x:v>
      </x:c>
      <x:c r="E72" s="212" t="inlineStr">
        <x:is>
          <x:t xml:space="preserve">Short-lived items total depr.</x:t>
        </x:is>
      </x:c>
    </x:row>
    <x:row r="73" s="160" customFormat="1" ht="15" customHeight="1">
      <x:c r="B73" s="212" t="inlineStr">
        <x:is>
          <x:t xml:space="preserve">SITE_IMPROVEMENT_DEPRECIATION_TOTAL</x:t>
        </x:is>
      </x:c>
      <x:c r="C73" s="212" t="e">
        <x:f>cost!G28</x:f>
        <x:v>#DIV/0!</x:v>
      </x:c>
      <x:c r="D73" s="212" t="e">
        <x:f>"$"&amp;TEXT(C73,"#,##0")</x:f>
        <x:v>#DIV/0!</x:v>
      </x:c>
      <x:c r="E73" s="212" t="inlineStr">
        <x:is>
          <x:t xml:space="preserve">Site imp. total depr.</x:t>
        </x:is>
      </x:c>
    </x:row>
    <x:row r="74">
      <x:c r="B74" t="inlineStr">
        <x:is>
          <x:t xml:space="preserve">DEVELOPER_PROFIT_RATE</x:t>
        </x:is>
      </x:c>
    </x:row>
    <x:row r="75">
      <x:c r="B75" t="inlineStr">
        <x:is>
          <x:t xml:space="preserve">DEVELOPER_PROFIT_AMOUNT</x:t>
        </x:is>
      </x:c>
    </x:row>
    <x:row r="76" s="160" customFormat="1" ht="15" customHeight="1">
      <x:c r="B76" s="212" t="inlineStr">
        <x:is>
          <x:t xml:space="preserve">RCN_PSF</x:t>
        </x:is>
      </x:c>
      <x:c r="C76" s="217" t="e">
        <x:f>cost!C11</x:f>
        <x:v>#VALUE!</x:v>
      </x:c>
      <x:c r="D76" s="212" t="e">
        <x:f>"$"&amp;TEXT(C76,"#,##0.00")&amp;" per SF"</x:f>
        <x:v>#VALUE!</x:v>
      </x:c>
      <x:c r="E76" s="212" t="inlineStr">
        <x:is>
          <x:t xml:space="preserve">Reproduction cost/SF</x:t>
        </x:is>
      </x:c>
    </x:row>
    <x:row r="77" s="160" customFormat="1" ht="15" customHeight="1">
      <x:c r="B77" s="213" t="inlineStr">
        <x:is>
          <x:t xml:space="preserve">MARSHALL_SECTION_REF</x:t>
        </x:is>
      </x:c>
      <x:c r="C77" s="213" t="n"/>
      <x:c r="D77" s="213" t="str">
        <x:f>IF(C77="","",C77)</x:f>
      </x:c>
      <x:c r="E77" s="213" t="inlineStr">
        <x:is>
          <x:t xml:space="preserve">Marshall section reference — enter manually</x:t>
        </x:is>
      </x:c>
    </x:row>
    <x:row r="78" s="160" customFormat="1" ht="15" customHeight="1">
      <x:c r="B78" s="213" t="inlineStr">
        <x:is>
          <x:t xml:space="preserve">MARSHALL_SECTION_DESC</x:t>
        </x:is>
      </x:c>
      <x:c r="C78" s="213" t="n"/>
      <x:c r="D78" s="213" t="str">
        <x:f>IF(C78="","",C78)</x:f>
      </x:c>
      <x:c r="E78" s="213" t="inlineStr">
        <x:is>
          <x:t xml:space="preserve">Marshall section description — enter manually</x:t>
        </x:is>
      </x:c>
    </x:row>
    <x:row r="79" s="160" customFormat="1" ht="15" customHeight="1">
      <x:c r="B79" s="213" t="inlineStr">
        <x:is>
          <x:t xml:space="preserve">MARSHALL_BASE_COST</x:t>
        </x:is>
      </x:c>
      <x:c r="C79" s="213" t="n"/>
      <x:c r="D79" s="213" t="str">
        <x:f>"$"&amp;TEXT(C79,"#,##0.00")&amp;" per SF"</x:f>
        <x:v>$ per SF</x:v>
      </x:c>
      <x:c r="E79" s="213" t="inlineStr">
        <x:is>
          <x:t xml:space="preserve">Marshall base cost/SF — enter manually</x:t>
        </x:is>
      </x:c>
    </x:row>
    <x:row r="80" s="160" customFormat="1" ht="15" customHeight="1">
      <x:c r="B80" s="213" t="inlineStr">
        <x:is>
          <x:t xml:space="preserve">MARSHALL_LOCAL_ADJ</x:t>
        </x:is>
      </x:c>
      <x:c r="C80" s="213" t="n"/>
      <x:c r="D80" s="213" t="str">
        <x:f>TEXT(C80,"0.00")&amp;"x"</x:f>
        <x:v>x</x:v>
      </x:c>
      <x:c r="E80" s="213" t="inlineStr">
        <x:is>
          <x:t xml:space="preserve">Local adj. multiplier</x:t>
        </x:is>
      </x:c>
    </x:row>
    <x:row r="81" s="160" customFormat="1" ht="15" customHeight="1">
      <x:c r="B81" s="213" t="inlineStr">
        <x:is>
          <x:t xml:space="preserve">MARSHALL_AREA_ADJ</x:t>
        </x:is>
      </x:c>
      <x:c r="C81" s="213" t="n"/>
      <x:c r="D81" s="213" t="str">
        <x:f>TEXT(C81,"0.00")&amp;"x"</x:f>
        <x:v>x</x:v>
      </x:c>
      <x:c r="E81" s="213" t="inlineStr">
        <x:is>
          <x:t xml:space="preserve">Area adj. multiplier</x:t>
        </x:is>
      </x:c>
    </x:row>
    <x:row r="82" s="160" customFormat="1" ht="15" customHeight="1">
      <x:c r="B82" s="213" t="inlineStr">
        <x:is>
          <x:t xml:space="preserve">MARSHALL_CURRENT_ADJ</x:t>
        </x:is>
      </x:c>
      <x:c r="C82" s="213" t="n"/>
      <x:c r="D82" s="213" t="str">
        <x:f>TEXT(C82,"0.00")&amp;"x"</x:f>
        <x:v>x</x:v>
      </x:c>
      <x:c r="E82" s="213" t="inlineStr">
        <x:is>
          <x:t xml:space="preserve">Current conditions multiplier</x:t>
        </x:is>
      </x:c>
    </x:row>
    <x:row r="83" s="160" customFormat="1" ht="15" customHeight="1">
      <x:c r="B83" s="212" t="inlineStr">
        <x:is>
          <x:t xml:space="preserve">RCN_TOTAL</x:t>
        </x:is>
      </x:c>
      <x:c r="C83" s="216" t="e">
        <x:f>cost!C12</x:f>
        <x:v>#VALUE!</x:v>
      </x:c>
      <x:c r="D83" s="212" t="e">
        <x:f>"$"&amp;TEXT(C83,"#,##0")</x:f>
        <x:v>#VALUE!</x:v>
      </x:c>
      <x:c r="E83" s="212" t="inlineStr">
        <x:is>
          <x:t xml:space="preserve">Total reproduction cost</x:t>
        </x:is>
      </x:c>
    </x:row>
    <x:row r="85" s="160" customFormat="1" ht="19.5" customHeight="1">
      <x:c r="B85" s="218" t="inlineStr">
        <x:is>
          <x:t xml:space="preserve">OUTPUTS — LAND SALES COMPARISON (formula-driven)</x:t>
        </x:is>
      </x:c>
      <x:c r="C85" s="218" t="n"/>
      <x:c r="D85" s="218" t="n"/>
      <x:c r="E85" s="218" t="n"/>
      <x:c r="F85" s="218" t="n"/>
    </x:row>
    <x:row r="86" s="160" customFormat="1" ht="30" customHeight="1">
      <x:c r="B86" s="219" t="inlineStr">
        <x:is>
          <x:t xml:space="preserve">Placeholder</x:t>
        </x:is>
      </x:c>
      <x:c r="C86" s="219" t="inlineStr">
        <x:is>
          <x:t xml:space="preserve">Raw Value</x:t>
        </x:is>
      </x:c>
      <x:c r="D86" s="219" t="inlineStr">
        <x:is>
          <x:t xml:space="preserve">Report Format (→ Word)</x:t>
        </x:is>
      </x:c>
      <x:c r="E86" s="219" t="inlineStr">
        <x:is>
          <x:t xml:space="preserve">Notes</x:t>
        </x:is>
      </x:c>
    </x:row>
    <x:row r="87" s="160" customFormat="1" ht="15" customHeight="1">
      <x:c r="B87" s="212" t="inlineStr">
        <x:is>
          <x:t xml:space="preserve">LAND_VALUE_CONCLUDED</x:t>
        </x:is>
      </x:c>
      <x:c r="C87" s="212" t="n">
        <x:f>land!D26</x:f>
        <x:v>0</x:v>
      </x:c>
      <x:c r="D87" s="212" t="str">
        <x:f>"$"&amp;TEXT(C87,"#,##0")</x:f>
        <x:v>$0</x:v>
      </x:c>
      <x:c r="E87" s="212" t="inlineStr">
        <x:is>
          <x:t xml:space="preserve">Concluded land value</x:t>
        </x:is>
      </x:c>
    </x:row>
    <x:row r="88" s="160" customFormat="1" ht="15" customHeight="1">
      <x:c r="B88" s="212" t="inlineStr">
        <x:is>
          <x:t xml:space="preserve">LAND_SALE_LOW_UNIT</x:t>
        </x:is>
      </x:c>
      <x:c r="C88" s="212" t="e">
        <x:f>MIN(land!G5:G9)</x:f>
        <x:v>#DIV/0!</x:v>
      </x:c>
      <x:c r="D88" s="212" t="e">
        <x:f>"$"&amp;TEXT(C88,"#,##0.00")&amp;" per SF"</x:f>
        <x:v>#DIV/0!</x:v>
      </x:c>
      <x:c r="E88" s="212" t="inlineStr">
        <x:is>
          <x:t xml:space="preserve">Unadj. low $/SF land comps</x:t>
        </x:is>
      </x:c>
    </x:row>
    <x:row r="89" s="160" customFormat="1" ht="15" customHeight="1">
      <x:c r="B89" s="212" t="inlineStr">
        <x:is>
          <x:t xml:space="preserve">LAND_SALE_HIGH_UNIT</x:t>
        </x:is>
      </x:c>
      <x:c r="C89" s="212" t="e">
        <x:f>MAX(land!G5:G9)</x:f>
        <x:v>#DIV/0!</x:v>
      </x:c>
      <x:c r="D89" s="212" t="e">
        <x:f>"$"&amp;TEXT(C89,"#,##0.00")&amp;" per SF"</x:f>
        <x:v>#DIV/0!</x:v>
      </x:c>
      <x:c r="E89" s="212" t="inlineStr">
        <x:is>
          <x:t xml:space="preserve">Unadj. high $/SF land comps</x:t>
        </x:is>
      </x:c>
    </x:row>
    <x:row r="90" s="160" customFormat="1" ht="15" customHeight="1">
      <x:c r="B90" s="212" t="inlineStr">
        <x:is>
          <x:t xml:space="preserve">LAND_SALE_MEAN_UNIT</x:t>
        </x:is>
      </x:c>
      <x:c r="C90" s="212" t="e">
        <x:f>AVERAGE(land!G5:G9)</x:f>
        <x:v>#VALUE!</x:v>
      </x:c>
      <x:c r="D90" s="212" t="e">
        <x:f>"$"&amp;TEXT(C90,"#,##0.00")&amp;" per SF"</x:f>
        <x:v>#VALUE!</x:v>
      </x:c>
      <x:c r="E90" s="212" t="inlineStr">
        <x:is>
          <x:t xml:space="preserve">Unadj. mean $/SF land comps</x:t>
        </x:is>
      </x:c>
    </x:row>
    <x:row r="91" s="160" customFormat="1" ht="15" customHeight="1">
      <x:c r="B91" s="212" t="inlineStr">
        <x:is>
          <x:t xml:space="preserve">LAND_ADJ_UNIT_LOW</x:t>
        </x:is>
      </x:c>
      <x:c r="C91" s="212" t="n">
        <x:f>MIN(land!J15:J19)</x:f>
        <x:v>0</x:v>
      </x:c>
      <x:c r="D91" s="212" t="str">
        <x:f>"$"&amp;TEXT(C91,"#,##0.00")&amp;" per SF"</x:f>
        <x:v>$0.00 per SF</x:v>
      </x:c>
      <x:c r="E91" s="212" t="inlineStr">
        <x:is>
          <x:t xml:space="preserve">Adj. low $/SF land comps</x:t>
        </x:is>
      </x:c>
    </x:row>
    <x:row r="92" s="160" customFormat="1" ht="15" customHeight="1">
      <x:c r="B92" s="212" t="inlineStr">
        <x:is>
          <x:t xml:space="preserve">LAND_ADJ_UNIT_HIGH</x:t>
        </x:is>
      </x:c>
      <x:c r="C92" s="212" t="n">
        <x:f>MAX(land!J15:J19)</x:f>
        <x:v>0</x:v>
      </x:c>
      <x:c r="D92" s="212" t="str">
        <x:f>"$"&amp;TEXT(C92,"#,##0.00")&amp;" per SF"</x:f>
        <x:v>$0.00 per SF</x:v>
      </x:c>
      <x:c r="E92" s="212" t="inlineStr">
        <x:is>
          <x:t xml:space="preserve">Adj. high $/SF land comps</x:t>
        </x:is>
      </x:c>
    </x:row>
    <x:row r="93" s="160" customFormat="1" ht="15" customHeight="1">
      <x:c r="B93" s="212" t="inlineStr">
        <x:is>
          <x:t xml:space="preserve">LAND_ADJ_UNIT_MEAN</x:t>
        </x:is>
      </x:c>
      <x:c r="C93" s="212" t="n">
        <x:f>AVERAGE(land!J15:J19)</x:f>
        <x:v>0</x:v>
      </x:c>
      <x:c r="D93" s="212" t="str">
        <x:f>"$"&amp;TEXT(C93,"#,##0.00")&amp;" per SF"</x:f>
        <x:v>$0.00 per SF</x:v>
      </x:c>
      <x:c r="E93" s="212" t="inlineStr">
        <x:is>
          <x:t xml:space="preserve">Adj. mean $/SF land comps</x:t>
        </x:is>
      </x:c>
    </x:row>
    <x:row r="94" s="160" customFormat="1" ht="15" customHeight="1">
      <x:c r="B94" s="212" t="inlineStr">
        <x:is>
          <x:t xml:space="preserve">LAND_ADJ_UNIT_MEDIAN</x:t>
        </x:is>
      </x:c>
      <x:c r="C94" s="212" t="n">
        <x:f>MEDIAN(land!J15:J19)</x:f>
        <x:v>0</x:v>
      </x:c>
      <x:c r="D94" s="212" t="str">
        <x:f>"$"&amp;TEXT(C94,"#,##0.00")&amp;" per SF"</x:f>
        <x:v>$0.00 per SF</x:v>
      </x:c>
      <x:c r="E94" s="212" t="inlineStr">
        <x:is>
          <x:t xml:space="preserve">Adj. median $/SF land comps</x:t>
        </x:is>
      </x:c>
    </x:row>
    <x:row r="95" s="160" customFormat="1" ht="15" customHeight="1">
      <x:c r="B95" s="212" t="inlineStr">
        <x:is>
          <x:t xml:space="preserve">LAND_COMP_SIZE_LOW</x:t>
        </x:is>
      </x:c>
      <x:c r="C95" s="212" t="n">
        <x:f>MIN(land!F5:F9)</x:f>
        <x:v>0</x:v>
      </x:c>
      <x:c r="D95" s="212" t="str">
        <x:f>TEXT(C95,"#,##0")&amp;" SF"</x:f>
        <x:v>0 SF</x:v>
      </x:c>
      <x:c r="E95" s="212" t="inlineStr">
        <x:is>
          <x:t xml:space="preserve">Land comp size low SF</x:t>
        </x:is>
      </x:c>
    </x:row>
    <x:row r="96" s="160" customFormat="1" ht="15" customHeight="1">
      <x:c r="B96" s="212" t="inlineStr">
        <x:is>
          <x:t xml:space="preserve">LAND_COMP_SIZE_HIGH</x:t>
        </x:is>
      </x:c>
      <x:c r="C96" s="212" t="n">
        <x:f>MAX(land!F5:F9)</x:f>
        <x:v>0</x:v>
      </x:c>
      <x:c r="D96" s="212" t="str">
        <x:f>TEXT(C96,"#,##0")&amp;" SF"</x:f>
        <x:v>0 SF</x:v>
      </x:c>
      <x:c r="E96" s="212" t="inlineStr">
        <x:is>
          <x:t xml:space="preserve">Land comp size high SF</x:t>
        </x:is>
      </x:c>
    </x:row>
    <x:row r="97" s="160" customFormat="1" ht="15" customHeight="1">
      <x:c r="B97" s="212" t="inlineStr">
        <x:is>
          <x:t xml:space="preserve">LAND_COMP_SIZE_MEAN</x:t>
        </x:is>
      </x:c>
      <x:c r="C97" s="212" t="e">
        <x:f>AVERAGE(land!F5:F9)</x:f>
        <x:v>#DIV/0!</x:v>
      </x:c>
      <x:c r="D97" s="212" t="e">
        <x:f>TEXT(C97,"#,##0")&amp;" SF"</x:f>
        <x:v>#DIV/0!</x:v>
      </x:c>
      <x:c r="E97" s="212" t="inlineStr">
        <x:is>
          <x:t xml:space="preserve">Land comp size mean SF</x:t>
        </x:is>
      </x:c>
    </x:row>
    <x:row r="98" s="160" customFormat="1" ht="15" customHeight="1">
      <x:c r="B98" s="212" t="inlineStr">
        <x:is>
          <x:t xml:space="preserve">LAND_COMP_SIZE_MEDIAN</x:t>
        </x:is>
      </x:c>
      <x:c r="C98" s="212" t="e">
        <x:f>MEDIAN(land!F5:F9)</x:f>
        <x:v>#NUM!</x:v>
      </x:c>
      <x:c r="D98" s="212" t="e">
        <x:f>TEXT(C98,"#,##0")&amp;" SF"</x:f>
        <x:v>#NUM!</x:v>
      </x:c>
      <x:c r="E98" s="212" t="inlineStr">
        <x:is>
          <x:t xml:space="preserve">Land comp size median SF</x:t>
        </x:is>
      </x:c>
    </x:row>
    <x:row r="100" s="160" customFormat="1" ht="19.5" customHeight="1">
      <x:c r="B100" s="218" t="inlineStr">
        <x:is>
          <x:t xml:space="preserve">OUTPUTS — LAND CONCLUSION (Appraiser Input)</x:t>
        </x:is>
      </x:c>
      <x:c r="C100" s="218" t="n"/>
      <x:c r="D100" s="218" t="n"/>
      <x:c r="E100" s="218" t="n"/>
      <x:c r="F100" s="218" t="n"/>
    </x:row>
    <x:row r="101" s="160" customFormat="1" ht="30" customHeight="1">
      <x:c r="B101" s="219" t="inlineStr">
        <x:is>
          <x:t xml:space="preserve">Placeholder</x:t>
        </x:is>
      </x:c>
      <x:c r="C101" s="219" t="inlineStr">
        <x:is>
          <x:t xml:space="preserve">Raw Value</x:t>
        </x:is>
      </x:c>
      <x:c r="D101" s="219" t="inlineStr">
        <x:is>
          <x:t xml:space="preserve">Report Format (→ Word)</x:t>
        </x:is>
      </x:c>
      <x:c r="E101" s="219" t="inlineStr">
        <x:is>
          <x:t xml:space="preserve">Notes</x:t>
        </x:is>
      </x:c>
    </x:row>
    <x:row r="102" s="160" customFormat="1" ht="15" customHeight="1">
      <x:c r="B102" s="213" t="inlineStr">
        <x:is>
          <x:t xml:space="preserve">LAND_UNIT_OF_COMPARISON</x:t>
        </x:is>
      </x:c>
      <x:c r="C102" s="213" t="n"/>
      <x:c r="D102" s="213" t="str">
        <x:f>IF(C102="","",C102)</x:f>
      </x:c>
      <x:c r="E102" s="213" t="inlineStr">
        <x:is>
          <x:t xml:space="preserve">SF or AC — enter manually</x:t>
        </x:is>
      </x:c>
    </x:row>
    <x:row r="103" s="160" customFormat="1" ht="15" customHeight="1">
      <x:c r="B103" s="213" t="inlineStr">
        <x:is>
          <x:t xml:space="preserve">LAND_PRIMARY_SALES</x:t>
        </x:is>
      </x:c>
      <x:c r="C103" s="213" t="n"/>
      <x:c r="D103" s="213" t="str">
        <x:f>IF(C103="","",C103)</x:f>
      </x:c>
      <x:c r="E103" s="213" t="inlineStr">
        <x:is>
          <x:t xml:space="preserve">Number of primary sales used — enter manually</x:t>
        </x:is>
      </x:c>
    </x:row>
    <x:row r="104" s="160" customFormat="1" ht="15" customHeight="1">
      <x:c r="B104" s="213" t="inlineStr">
        <x:is>
          <x:t xml:space="preserve">LAND_ADJ_RELEVANT_MEAN</x:t>
        </x:is>
      </x:c>
      <x:c r="C104" s="213" t="n"/>
      <x:c r="D104" s="213" t="str">
        <x:f>"$"&amp;TEXT(C104,"#,##0.00")&amp;" per SF"</x:f>
        <x:v>$ per SF</x:v>
      </x:c>
      <x:c r="E104" s="213" t="inlineStr">
        <x:is>
          <x:t xml:space="preserve">Most relevant comps mean — enter manually</x:t>
        </x:is>
      </x:c>
    </x:row>
    <x:row r="105" s="160" customFormat="1" ht="15" customHeight="1">
      <x:c r="B105" s="213" t="inlineStr">
        <x:is>
          <x:t xml:space="preserve">LAND_ADJ_RELEVANT_MEDIAN</x:t>
        </x:is>
      </x:c>
      <x:c r="C105" s="213" t="n"/>
      <x:c r="D105" s="213" t="str">
        <x:f>"$"&amp;TEXT(C105,"#,##0.00")&amp;" per SF"</x:f>
        <x:v>$ per SF</x:v>
      </x:c>
      <x:c r="E105" s="213" t="inlineStr">
        <x:is>
          <x:t xml:space="preserve">Most relevant comps median — enter manually</x:t>
        </x:is>
      </x:c>
    </x:row>
    <x:row r="106" s="160" customFormat="1" ht="15" customHeight="1">
      <x:c r="B106" s="213" t="inlineStr">
        <x:is>
          <x:t xml:space="preserve">LAND_CONCLUDED_UNIT</x:t>
        </x:is>
      </x:c>
      <x:c r="C106" s="213" t="n"/>
      <x:c r="D106" s="213" t="str">
        <x:f>"$"&amp;TEXT(C106,"#,##0.00")&amp;" per SF"</x:f>
        <x:v>$ per SF</x:v>
      </x:c>
      <x:c r="E106" s="213" t="inlineStr">
        <x:is>
          <x:t xml:space="preserve">Concluded $/SF or $/AC — enter manually</x:t>
        </x:is>
      </x:c>
    </x:row>
    <x:row r="107" s="160" customFormat="1" ht="15" customHeight="1">
      <x:c r="B107" s="213" t="inlineStr">
        <x:is>
          <x:t xml:space="preserve">LAND_CONCLUDED_RANGE</x:t>
        </x:is>
      </x:c>
      <x:c r="C107" s="213" t="n"/>
      <x:c r="D107" s="213" t="str">
        <x:f>IF(C107="","",C107)</x:f>
      </x:c>
      <x:c r="E107" s="213" t="inlineStr">
        <x:is>
          <x:t xml:space="preserve">e.g. "$12.00 to $15.00 per SF" — enter manually</x:t>
        </x:is>
      </x:c>
    </x:row>
    <x:row r="109" s="160" customFormat="1" ht="19.5" customHeight="1">
      <x:c r="B109" s="218" t="inlineStr">
        <x:is>
          <x:t xml:space="preserve">OUTPUTS — RECONCILIATION FLAGS &amp; WEIGHTS</x:t>
        </x:is>
      </x:c>
      <x:c r="C109" s="218" t="n"/>
      <x:c r="D109" s="218" t="n"/>
      <x:c r="E109" s="218" t="n"/>
      <x:c r="F109" s="218" t="n"/>
    </x:row>
    <x:row r="110" s="160" customFormat="1" ht="30" customHeight="1">
      <x:c r="B110" s="219" t="inlineStr">
        <x:is>
          <x:t xml:space="preserve">Placeholder</x:t>
        </x:is>
      </x:c>
      <x:c r="C110" s="219" t="inlineStr">
        <x:is>
          <x:t xml:space="preserve">Raw Value</x:t>
        </x:is>
      </x:c>
      <x:c r="D110" s="219" t="inlineStr">
        <x:is>
          <x:t xml:space="preserve">Report Format (→ Word)</x:t>
        </x:is>
      </x:c>
      <x:c r="E110" s="219" t="inlineStr">
        <x:is>
          <x:t xml:space="preserve">Notes</x:t>
        </x:is>
      </x:c>
    </x:row>
    <x:row r="111" s="160" customFormat="1" ht="15" customHeight="1">
      <x:c r="B111" s="212" t="inlineStr">
        <x:is>
          <x:t xml:space="preserve">SCA_DEVELOPED</x:t>
        </x:is>
      </x:c>
      <x:c r="C111" s="212" t="inlineStr">
        <x:is>
          <x:t xml:space="preserve">Yes</x:t>
        </x:is>
      </x:c>
      <x:c r="D111" s="212" t="str">
        <x:f>IF(C111="","",C111)</x:f>
        <x:v>Yes</x:v>
      </x:c>
      <x:c r="E111" s="212" t="inlineStr">
        <x:is>
          <x:t xml:space="preserve">Yes or No</x:t>
        </x:is>
      </x:c>
    </x:row>
    <x:row r="112" s="160" customFormat="1" ht="15" customHeight="1">
      <x:c r="B112" s="212" t="inlineStr">
        <x:is>
          <x:t xml:space="preserve">SCA_DEVELOPED_FULL</x:t>
        </x:is>
      </x:c>
      <x:c r="C112" s="212" t="n"/>
      <x:c r="D112" s="212" t="str">
        <x:f>IF(C111="Yes","was developed","was not developed")</x:f>
        <x:v>was developed</x:v>
      </x:c>
      <x:c r="E112" s="212" t="e">
        <x:f>IF(C above="Yes","was developed","was not developed")</x:f>
        <x:v>#NAME?</x:v>
      </x:c>
    </x:row>
    <x:row r="113" s="160" customFormat="1" ht="15" customHeight="1">
      <x:c r="B113" s="213" t="inlineStr">
        <x:is>
          <x:t xml:space="preserve">SCA_WEIGHT</x:t>
        </x:is>
      </x:c>
      <x:c r="C113" s="213" t="n"/>
      <x:c r="D113" s="213" t="str">
        <x:f>TEXT(C113,"0.0%")</x:f>
      </x:c>
      <x:c r="E113" s="213" t="inlineStr">
        <x:is>
          <x:t xml:space="preserve">Reconciliation weight (e.g. 0.60)</x:t>
        </x:is>
      </x:c>
    </x:row>
    <x:row r="114" s="160" customFormat="1" ht="15" customHeight="1">
      <x:c r="B114" s="212" t="inlineStr">
        <x:is>
          <x:t xml:space="preserve">IA_DEVELOPED</x:t>
        </x:is>
      </x:c>
      <x:c r="C114" s="212" t="inlineStr">
        <x:is>
          <x:t xml:space="preserve">Yes</x:t>
        </x:is>
      </x:c>
      <x:c r="D114" s="212" t="str">
        <x:f>IF(C114="","",C114)</x:f>
        <x:v>Yes</x:v>
      </x:c>
      <x:c r="E114" s="212" t="inlineStr">
        <x:is>
          <x:t xml:space="preserve">Yes or No</x:t>
        </x:is>
      </x:c>
    </x:row>
    <x:row r="115" s="160" customFormat="1" ht="15" customHeight="1">
      <x:c r="B115" s="213" t="inlineStr">
        <x:is>
          <x:t xml:space="preserve">IA_WEIGHT</x:t>
        </x:is>
      </x:c>
      <x:c r="C115" s="213" t="n"/>
      <x:c r="D115" s="213" t="str">
        <x:f>TEXT(C115,"0.0%")</x:f>
      </x:c>
      <x:c r="E115" s="213" t="inlineStr">
        <x:is>
          <x:t xml:space="preserve">Reconciliation weight (e.g. 0.40)</x:t>
        </x:is>
      </x:c>
    </x:row>
    <x:row r="116" s="160" customFormat="1" ht="15" customHeight="1">
      <x:c r="B116" s="212" t="inlineStr">
        <x:is>
          <x:t xml:space="preserve">CA_DEVELOPED</x:t>
        </x:is>
      </x:c>
      <x:c r="C116" s="212" t="inlineStr">
        <x:is>
          <x:t xml:space="preserve">No</x:t>
        </x:is>
      </x:c>
      <x:c r="D116" s="212" t="str">
        <x:f>IF(C116="","",C116)</x:f>
        <x:v>No</x:v>
      </x:c>
      <x:c r="E116" s="212" t="inlineStr">
        <x:is>
          <x:t xml:space="preserve">Yes or No</x:t>
        </x:is>
      </x:c>
    </x:row>
    <x:row r="117" s="160" customFormat="1" ht="15" customHeight="1">
      <x:c r="B117" s="212" t="inlineStr">
        <x:is>
          <x:t xml:space="preserve">CA_DEVELOPED_FULL</x:t>
        </x:is>
      </x:c>
      <x:c r="C117" s="212" t="n"/>
      <x:c r="D117" s="212" t="str">
        <x:f>IF(C116="Yes","was developed","was not developed")</x:f>
        <x:v>was not developed</x:v>
      </x:c>
      <x:c r="E117" s="212" t="inlineStr">
        <x:is>
          <x:t xml:space="preserve">Derived from CA_DEVELOPED</x:t>
        </x:is>
      </x:c>
    </x:row>
    <x:row r="118" s="160" customFormat="1" ht="15" customHeight="1">
      <x:c r="B118" s="213" t="inlineStr">
        <x:is>
          <x:t xml:space="preserve">CA_WEIGHT</x:t>
        </x:is>
      </x:c>
      <x:c r="C118" s="213" t="n"/>
      <x:c r="D118" s="213" t="str">
        <x:f>TEXT(C118,"0.0%")</x:f>
      </x:c>
      <x:c r="E118" s="213" t="inlineStr">
        <x:is>
          <x:t xml:space="preserve">Reconciliation weight (e.g. 0.00)</x:t>
        </x:is>
      </x:c>
    </x:row>
    <x:row r="119" s="160" customFormat="1" ht="19.5" customHeight="1">
      <x:c r="B119" s="220" t="inlineStr">
        <x:is>
          <x:t xml:space="preserve">VALUE CONCLUSION</x:t>
        </x:is>
      </x:c>
    </x:row>
    <x:row r="121">
      <x:c r="B121" s="221" t="inlineStr">
        <x:is>
          <x:t xml:space="preserve">IA_DEVELOPED_FULL</x:t>
        </x:is>
      </x:c>
      <x:c r="C121" s="221" t="str">
        <x:f>IF(C114="Yes","was developed","was not developed")</x:f>
        <x:v>was developed</x:v>
      </x:c>
      <x:c r="D121" s="221" t="str">
        <x:f>IF(C114="Yes","was developed","was not developed")</x:f>
        <x:v>was developed</x:v>
      </x:c>
      <x:c r="E121" s="221" t="inlineStr">
        <x:is>
          <x:t xml:space="preserve">Derived from IA_DEVELOPED (C114)</x:t>
        </x:is>
      </x:c>
    </x:row>
    <x:row r="122">
      <x:c r="B122" s="221" t="inlineStr">
        <x:is>
          <x:t xml:space="preserve">VALUE_CONCLUSION</x:t>
        </x:is>
      </x:c>
      <x:c r="C122" s="221" t="n">
        <x:f>ROUND((IFERROR(C14*C113,0)+IFERROR(C58*C115,0)+IFERROR(C67*C118,0))/25000,0)*25000</x:f>
        <x:v>0</x:v>
      </x:c>
      <x:c r="D122" s="221" t="str">
        <x:f>TEXT(C122,"$#,##0")</x:f>
        <x:v>$0</x:v>
      </x:c>
      <x:c r="E122" s="221" t="inlineStr">
        <x:is>
          <x:t xml:space="preserve">SCA*weight + IA*weight + CA*weight, rounded $25k</x:t>
        </x:is>
      </x:c>
    </x:row>
    <x:row r="123">
      <x:c r="B123" s="221" t="inlineStr">
        <x:is>
          <x:t xml:space="preserve">VALUE_WORDS</x:t>
        </x:is>
      </x:c>
      <x:c r="C123" s="222" t="inlineStr">
        <x:is>
          <x:t xml:space="preserve"/>
        </x:is>
      </x:c>
      <x:c r="D123" s="221" t="str">
        <x:f>IF(C123="","",C123)</x:f>
      </x:c>
      <x:c r="E123" s="223" t="inlineStr">
        <x:is>
          <x:t xml:space="preserve">e.g. 'one million four hundred thousand'</x:t>
        </x:is>
      </x:c>
    </x:row>
    <x:row r="124">
      <x:c r="B124" s="221" t="inlineStr">
        <x:is>
          <x:t xml:space="preserve">VALUE_WORDS_FORMAL</x:t>
        </x:is>
      </x:c>
      <x:c r="C124" s="222" t="inlineStr">
        <x:is>
          <x:t xml:space="preserve"/>
        </x:is>
      </x:c>
      <x:c r="D124" s="221" t="str">
        <x:f>IF(C124="","",C124)</x:f>
      </x:c>
      <x:c r="E124" s="223" t="inlineStr">
        <x:is>
          <x:t xml:space="preserve">e.g. 'One Million Four Hundred Thousand Dollars ($1,400,000)'</x:t>
        </x:is>
      </x:c>
    </x:row>
    <x:row r="125">
      <x:c r="B125" s="221" t="inlineStr">
        <x:is>
          <x:t xml:space="preserve">DEVELOPED_APPROACHES</x:t>
        </x:is>
      </x:c>
      <x:c r="C125" s="221" t="str">
        <x:f>TRIM(IF(C111="Yes","Sales Comparison Approach","")&amp;IF(AND(C111="Yes",OR(C114="Yes",C116="Yes"))," and ","")&amp;IF(C114="Yes","Income Approach","")&amp;IF(AND(C114="Yes",C116="Yes")," and ","")&amp;IF(C116="Yes","Cost Approach",""))</x:f>
        <x:v>Sales Comparison Approach and Income Approach</x:v>
      </x:c>
      <x:c r="D125" s="221" t="str">
        <x:f>C125</x:f>
        <x:v>Sales Comparison Approach and Income Approach</x:v>
      </x:c>
      <x:c r="E125" s="221" t="inlineStr">
        <x:is>
          <x:t xml:space="preserve">Auto from flags</x:t>
        </x:is>
      </x:c>
    </x:row>
    <x:row r="126">
      <x:c r="B126" s="221" t="inlineStr">
        <x:is>
          <x:t xml:space="preserve">APPROACHES_LIST</x:t>
        </x:is>
      </x:c>
      <x:c r="C126" s="221" t="str">
        <x:f>TRIM(IF(C111="Yes","The Sales Comparison Approach","")&amp;IF(AND(C111="Yes",OR(C114="Yes",C116="Yes"))," and ","")&amp;IF(C114="Yes","the Income Approach","")&amp;IF(AND(C114="Yes",C116="Yes")," and ","")&amp;IF(C116="Yes","the Cost Approach","")&amp;" were developed.")</x:f>
        <x:v>The Sales Comparison Approach and the Income Approach were developed.</x:v>
      </x:c>
      <x:c r="D126" s="221" t="str">
        <x:f>C126</x:f>
        <x:v>The Sales Comparison Approach and the Income Approach were developed.</x:v>
      </x:c>
      <x:c r="E126" s="221" t="inlineStr">
        <x:is>
          <x:t xml:space="preserve">Full sentence for use in reconciliation</x:t>
        </x:is>
      </x:c>
    </x:row>
    <x:row r="127">
      <x:c r="B127" s="221" t="inlineStr">
        <x:is>
          <x:t xml:space="preserve">UNIT_OF_COMPARISON</x:t>
        </x:is>
      </x:c>
      <x:c r="C127" s="222" t="inlineStr">
        <x:is>
          <x:t xml:space="preserve">square foot</x:t>
        </x:is>
      </x:c>
      <x:c r="D127" s="221" t="str">
        <x:f>IF(C127="","",C127)</x:f>
        <x:v>square foot</x:v>
      </x:c>
      <x:c r="E127" s="223" t="inlineStr">
        <x:is>
          <x:t xml:space="preserve">e.g. 'square foot' or 'unit'</x:t>
        </x:is>
      </x:c>
    </x:row>
    <x:row r="128" s="160" customFormat="1" ht="19.5" customHeight="1">
      <x:c r="B128" s="220" t="inlineStr">
        <x:is>
          <x:t xml:space="preserve">INTAKE ALIASES</x:t>
        </x:is>
      </x:c>
    </x:row>
    <x:row r="129">
      <x:c r="B129" s="221" t="inlineStr">
        <x:is>
          <x:t xml:space="preserve">SITE_AREA_SF</x:t>
        </x:is>
      </x:c>
      <x:c r="C129" s="221" t="n">
        <x:f>Intake!B34</x:f>
        <x:v>0</x:v>
      </x:c>
      <x:c r="D129" s="221" t="str">
        <x:f>TEXT(C129,"#,##0")</x:f>
        <x:v>0</x:v>
      </x:c>
      <x:c r="E129" s="221" t="e">
        <x:f> Intake site area SF</x:f>
        <x:v>#NAME?</x:v>
      </x:c>
    </x:row>
    <x:row r="130">
      <x:c r="B130" s="221" t="inlineStr">
        <x:is>
          <x:t xml:space="preserve">SITE_AREA_ACRES</x:t>
        </x:is>
      </x:c>
      <x:c r="C130" s="221" t="n">
        <x:f>Intake!B35</x:f>
        <x:v>0</x:v>
      </x:c>
      <x:c r="D130" s="221" t="str">
        <x:f>TEXT(C130,"0.00")</x:f>
        <x:v>0.00</x:v>
      </x:c>
      <x:c r="E130" s="221" t="e">
        <x:f> Intake site area acres</x:f>
        <x:v>#NAME?</x:v>
      </x:c>
    </x:row>
    <x:row r="131">
      <x:c r="B131" s="221" t="inlineStr">
        <x:is>
          <x:t xml:space="preserve">LAND_AREA_ACRES</x:t>
        </x:is>
      </x:c>
      <x:c r="C131" s="221" t="n">
        <x:f>Intake!B35</x:f>
        <x:v>0</x:v>
      </x:c>
      <x:c r="D131" s="221" t="str">
        <x:f>TEXT(C131,"0.00")</x:f>
        <x:v>0.00</x:v>
      </x:c>
      <x:c r="E131" s="221" t="e">
        <x:f> same as SITE_AREA_ACRES</x:f>
        <x:v>#NAME?</x:v>
      </x:c>
    </x:row>
    <x:row r="132">
      <x:c r="B132" s="221" t="inlineStr">
        <x:is>
          <x:t xml:space="preserve">UNIT_COUNT</x:t>
        </x:is>
      </x:c>
      <x:c r="C132" s="221" t="n">
        <x:f>Intake!B36</x:f>
        <x:v>0</x:v>
      </x:c>
      <x:c r="D132" s="221" t="str">
        <x:f>IF(C132="","",TEXT(C132,"0"))</x:f>
      </x:c>
      <x:c r="E132" s="221" t="e">
        <x:f> Intake unit count</x:f>
        <x:v>#NAME?</x:v>
      </x:c>
    </x:row>
    <x:row r="133">
      <x:c r="B133" s="221" t="inlineStr">
        <x:is>
          <x:t xml:space="preserve">BUILDINGS_STORIES</x:t>
        </x:is>
      </x:c>
      <x:c r="C133" s="221" t="n">
        <x:f>Intake!B37</x:f>
        <x:v>0</x:v>
      </x:c>
      <x:c r="D133" s="221" t="str">
        <x:f>IF(C133="","",C133)</x:f>
      </x:c>
      <x:c r="E133" s="221" t="e">
        <x:f> Intake stories</x:f>
        <x:v>#NAME?</x:v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3.199999809265137"/>
  <x:cols>
    <x:col min="1" max="1" width="14" style="160" customWidth="1"/>
    <x:col min="2" max="2" width="17.6640625" style="160" customWidth="1"/>
    <x:col min="3" max="3" width="24" style="160" customWidth="1"/>
    <x:col min="4" max="4" width="22" style="160" customWidth="1"/>
    <x:col min="5" max="5" width="18" style="160" customWidth="1"/>
    <x:col min="6" max="35" width="14" style="160" customWidth="1"/>
  </x:cols>
  <x:sheetData>
    <x:row r="1" s="160" customFormat="1" ht="28.049999237060547" customHeight="1">
      <x:c r="A1" s="112" t="inlineStr">
        <x:is>
          <x:t xml:space="preserve">COMP_NO</x:t>
        </x:is>
      </x:c>
      <x:c r="B1" s="112" t="inlineStr">
        <x:is>
          <x:t xml:space="preserve">COMP_SUBMARKET</x:t>
        </x:is>
      </x:c>
      <x:c r="C1" s="112" t="inlineStr">
        <x:is>
          <x:t xml:space="preserve">COMP_ADDRESS_LINE1</x:t>
        </x:is>
      </x:c>
      <x:c r="D1" s="112" t="inlineStr">
        <x:is>
          <x:t xml:space="preserve">COMP_ADDRESS_LINE2</x:t>
        </x:is>
      </x:c>
      <x:c r="E1" s="112" t="inlineStr">
        <x:is>
          <x:t xml:space="preserve">COMP_PROPERTY_TYPE</x:t>
        </x:is>
      </x:c>
      <x:c r="F1" s="112" t="inlineStr">
        <x:is>
          <x:t xml:space="preserve">COMP_SALE_PRICE</x:t>
        </x:is>
      </x:c>
      <x:c r="G1" s="112" t="inlineStr">
        <x:is>
          <x:t xml:space="preserve">COMP_SALE_DATE</x:t>
        </x:is>
      </x:c>
      <x:c r="H1" s="112" t="inlineStr">
        <x:is>
          <x:t xml:space="preserve">COMP_GBA_SF</x:t>
        </x:is>
      </x:c>
      <x:c r="I1" s="112" t="inlineStr">
        <x:is>
          <x:t xml:space="preserve">COMP_PRICE_SF</x:t>
        </x:is>
      </x:c>
      <x:c r="J1" s="112" t="inlineStr">
        <x:is>
          <x:t xml:space="preserve">COMP_CAP_RATE</x:t>
        </x:is>
      </x:c>
      <x:c r="K1" s="112" t="inlineStr">
        <x:is>
          <x:t xml:space="preserve">COMP_YEAR_BUILT</x:t>
        </x:is>
      </x:c>
      <x:c r="L1" s="112" t="inlineStr">
        <x:is>
          <x:t xml:space="preserve">COMP_SITE_AREA</x:t>
        </x:is>
      </x:c>
      <x:c r="M1" s="112" t="inlineStr">
        <x:is>
          <x:t xml:space="preserve">COMP_STORIES</x:t>
        </x:is>
      </x:c>
      <x:c r="N1" s="112" t="inlineStr">
        <x:is>
          <x:t xml:space="preserve">COMP_CONSTRUCTION</x:t>
        </x:is>
      </x:c>
      <x:c r="O1" s="112" t="inlineStr">
        <x:is>
          <x:t xml:space="preserve">COMP_CONDITION</x:t>
        </x:is>
      </x:c>
      <x:c r="P1" s="112" t="inlineStr">
        <x:is>
          <x:t xml:space="preserve">COMP_ZONING</x:t>
        </x:is>
      </x:c>
      <x:c r="Q1" s="112" t="inlineStr">
        <x:is>
          <x:t xml:space="preserve">COMP_TOPOGRAPHY</x:t>
        </x:is>
      </x:c>
      <x:c r="R1" s="112" t="inlineStr">
        <x:is>
          <x:t xml:space="preserve">COMP_SHAPE</x:t>
        </x:is>
      </x:c>
      <x:c r="S1" s="112" t="inlineStr">
        <x:is>
          <x:t xml:space="preserve">COMP_FLOOD_ZONE</x:t>
        </x:is>
      </x:c>
      <x:c r="T1" s="112" t="inlineStr">
        <x:is>
          <x:t xml:space="preserve">COMP_ACCESS</x:t>
        </x:is>
      </x:c>
      <x:c r="U1" s="112" t="inlineStr">
        <x:is>
          <x:t xml:space="preserve">COMP_VISIBILITY</x:t>
        </x:is>
      </x:c>
      <x:c r="V1" s="112" t="inlineStr">
        <x:is>
          <x:t xml:space="preserve">COMP_UTILITIES</x:t>
        </x:is>
      </x:c>
      <x:c r="W1" s="112" t="inlineStr">
        <x:is>
          <x:t xml:space="preserve">COMP_GRANTOR</x:t>
        </x:is>
      </x:c>
      <x:c r="X1" s="112" t="inlineStr">
        <x:is>
          <x:t xml:space="preserve">COMP_GRANTEE</x:t>
        </x:is>
      </x:c>
      <x:c r="Y1" s="112" t="inlineStr">
        <x:is>
          <x:t xml:space="preserve">COMP_DEED_REF</x:t>
        </x:is>
      </x:c>
      <x:c r="Z1" s="112" t="inlineStr">
        <x:is>
          <x:t xml:space="preserve">COMP_VERIFICATION</x:t>
        </x:is>
      </x:c>
      <x:c r="AA1" s="112" t="inlineStr">
        <x:is>
          <x:t xml:space="preserve">COMP_NOI</x:t>
        </x:is>
      </x:c>
      <x:c r="AB1" s="112" t="inlineStr">
        <x:is>
          <x:t xml:space="preserve">COMP_NOI_SF</x:t>
        </x:is>
      </x:c>
      <x:c r="AC1" s="112" t="inlineStr">
        <x:is>
          <x:t xml:space="preserve">COMP_ANALYSIS</x:t>
        </x:is>
      </x:c>
      <x:c r="AD1" s="112" t="inlineStr">
        <x:is>
          <x:t xml:space="preserve">COMP_RELEVANCE</x:t>
        </x:is>
      </x:c>
      <x:c r="AE1" s="112" t="inlineStr">
        <x:is>
          <x:t xml:space="preserve">COMP_POPULATION</x:t>
        </x:is>
      </x:c>
      <x:c r="AF1" s="112" t="inlineStr">
        <x:is>
          <x:t xml:space="preserve">COMP_HH_INCOME</x:t>
        </x:is>
      </x:c>
      <x:c r="AG1" s="112" t="inlineStr">
        <x:is>
          <x:t xml:space="preserve">COMP_LIST_PRICE</x:t>
        </x:is>
      </x:c>
      <x:c r="AH1" s="112" t="inlineStr">
        <x:is>
          <x:t xml:space="preserve">COMP_PCT_DISCOUNT</x:t>
        </x:is>
      </x:c>
      <x:c r="AI1" s="112" t="inlineStr">
        <x:is>
          <x:t xml:space="preserve">COMP_TIME_ON_MARKET</x:t>
        </x:is>
      </x:c>
    </x:row>
    <x:row r="2" s="160" customFormat="1" ht="36" customHeight="1">
      <x:c r="A2" s="113" t="inlineStr">
        <x:is>
          <x:t xml:space="preserve">Sale No. N (e.g. Sale No. 1)</x:t>
        </x:is>
      </x:c>
      <x:c r="B2" s="113" t="str">
        <x:v>Submarket name (e.g. Demo Hills)</x:v>
      </x:c>
      <x:c r="C2" s="113" t="inlineStr">
        <x:is>
          <x:t xml:space="preserve">Street address</x:t>
        </x:is>
      </x:c>
      <x:c r="D2" s="113" t="inlineStr">
        <x:is>
          <x:t xml:space="preserve">City, State ZIP</x:t>
        </x:is>
      </x:c>
      <x:c r="E2" s="113" t="inlineStr">
        <x:is>
          <x:t xml:space="preserve">Property type label</x:t>
        </x:is>
      </x:c>
      <x:c r="F2" s="113" t="inlineStr">
        <x:is>
          <x:t xml:space="preserve">Sale price (e.g. $892,000)</x:t>
        </x:is>
      </x:c>
      <x:c r="G2" s="113" t="inlineStr">
        <x:is>
          <x:t xml:space="preserve">Sale date (e.g. 12/26/2025)</x:t>
        </x:is>
      </x:c>
      <x:c r="H2" s="113" t="inlineStr">
        <x:is>
          <x:t xml:space="preserve">GBA with SF (e.g. 9,780 SF)</x:t>
        </x:is>
      </x:c>
      <x:c r="I2" s="113" t="inlineStr">
        <x:is>
          <x:t xml:space="preserve">Price per SF (e.g. $91.26)</x:t>
        </x:is>
      </x:c>
      <x:c r="J2" s="113" t="inlineStr">
        <x:is>
          <x:t xml:space="preserve">Cap rate (e.g. 8.10% or N/A)</x:t>
        </x:is>
      </x:c>
      <x:c r="K2" s="113" t="inlineStr">
        <x:is>
          <x:t xml:space="preserve">Year built (e.g. 1988)</x:t>
        </x:is>
      </x:c>
      <x:c r="L2" s="113" t="inlineStr">
        <x:is>
          <x:t xml:space="preserve">Site area (e.g. ± 110,002 SF)</x:t>
        </x:is>
      </x:c>
      <x:c r="M2" s="113" t="inlineStr">
        <x:is>
          <x:t xml:space="preserve">Stories (e.g. One, Two)</x:t>
        </x:is>
      </x:c>
      <x:c r="N2" s="113" t="inlineStr">
        <x:is>
          <x:t xml:space="preserve">Construction type</x:t>
        </x:is>
      </x:c>
      <x:c r="O2" s="113" t="inlineStr">
        <x:is>
          <x:t xml:space="preserve">Condition (e.g. Average)</x:t>
        </x:is>
      </x:c>
      <x:c r="P2" s="113" t="inlineStr">
        <x:is>
          <x:t xml:space="preserve">Zoning (e.g. Office/Commercial)</x:t>
        </x:is>
      </x:c>
      <x:c r="Q2" s="113" t="inlineStr">
        <x:is>
          <x:t xml:space="preserve">Topography (e.g. Level)</x:t>
        </x:is>
      </x:c>
      <x:c r="R2" s="113" t="inlineStr">
        <x:is>
          <x:t xml:space="preserve">Shape (e.g. Irregular)</x:t>
        </x:is>
      </x:c>
      <x:c r="S2" s="113" t="inlineStr">
        <x:is>
          <x:t xml:space="preserve">Flood zone (e.g. Zone X)</x:t>
        </x:is>
      </x:c>
      <x:c r="T2" s="113" t="inlineStr">
        <x:is>
          <x:t xml:space="preserve">Access (e.g. Average)</x:t>
        </x:is>
      </x:c>
      <x:c r="U2" s="113" t="inlineStr">
        <x:is>
          <x:t xml:space="preserve">Visibility (e.g. Average)</x:t>
        </x:is>
      </x:c>
      <x:c r="V2" s="113" t="inlineStr">
        <x:is>
          <x:t xml:space="preserve">Utilities (e.g. All Public)</x:t>
        </x:is>
      </x:c>
      <x:c r="W2" s="113" t="inlineStr">
        <x:is>
          <x:t xml:space="preserve">Grantor name</x:t>
        </x:is>
      </x:c>
      <x:c r="X2" s="113" t="inlineStr">
        <x:is>
          <x:t xml:space="preserve">Grantee name</x:t>
        </x:is>
      </x:c>
      <x:c r="Y2" s="113" t="inlineStr">
        <x:is>
          <x:t xml:space="preserve">Deed reference number</x:t>
        </x:is>
      </x:c>
      <x:c r="Z2" s="113" t="inlineStr">
        <x:is>
          <x:t xml:space="preserve">Verification source</x:t>
        </x:is>
      </x:c>
      <x:c r="AA2" s="113" t="inlineStr">
        <x:is>
          <x:t xml:space="preserve">NOI (e.g. $72,293 or Not Available)</x:t>
        </x:is>
      </x:c>
      <x:c r="AB2" s="113" t="inlineStr">
        <x:is>
          <x:t xml:space="preserve">NOI per SF (e.g. $7.39 or Not Available)</x:t>
        </x:is>
      </x:c>
      <x:c r="AC2" s="113" t="inlineStr">
        <x:is>
          <x:t xml:space="preserve">Main analysis paragraph</x:t>
        </x:is>
      </x:c>
      <x:c r="AD2" s="113" t="inlineStr">
        <x:is>
          <x:t xml:space="preserve">Relevance sentence</x:t>
        </x:is>
      </x:c>
      <x:c r="AE2" s="113" t="inlineStr">
        <x:is>
          <x:t xml:space="preserve">Population (e.g. 132,176)</x:t>
        </x:is>
      </x:c>
      <x:c r="AF2" s="113" t="inlineStr">
        <x:is>
          <x:t xml:space="preserve">Median HH income (e.g. $94,659)</x:t>
        </x:is>
      </x:c>
      <x:c r="AG2" s="113" t="inlineStr">
        <x:is>
          <x:t xml:space="preserve">List price (e.g. $1,000,000)</x:t>
        </x:is>
      </x:c>
      <x:c r="AH2" s="113" t="inlineStr">
        <x:is>
          <x:t xml:space="preserve">% discount from list (e.g. 11%)</x:t>
        </x:is>
      </x:c>
      <x:c r="AI2" s="113" t="inlineStr">
        <x:is>
          <x:t xml:space="preserve">Time on market (e.g. 52 days)</x:t>
        </x:is>
      </x:c>
    </x:row>
    <x:row r="3" s="160" customFormat="1" ht="19.950000762939453" customHeight="1">
      <x:c r="A3" s="114" t="str">
        <x:v>Sale No. 1</x:v>
      </x:c>
      <x:c r="B3" s="115" t="str">
        <x:v>Demo Hills</x:v>
      </x:c>
      <x:c r="C3" s="115" t="str">
        <x:v>200 Fictional Park Drive</x:v>
      </x:c>
      <x:c r="D3" s="115" t="str">
        <x:v>Demo Hills, Alabama 35001</x:v>
      </x:c>
      <x:c r="E3" s="115" t="str">
        <x:v>Multi-Tenant Office</x:v>
      </x:c>
      <x:c r="F3" s="115" t="str">
        <x:v>$1,800,000</x:v>
      </x:c>
      <x:c r="G3" s="115" t="str">
        <x:v>03/15/2025</x:v>
      </x:c>
      <x:c r="H3" s="115" t="str">
        <x:v>24,000 SF</x:v>
      </x:c>
      <x:c r="I3" s="115" t="str">
        <x:v>$75.00</x:v>
      </x:c>
      <x:c r="J3" s="115" t="str">
        <x:v>9.25%</x:v>
      </x:c>
      <x:c r="K3" s="115" t="str">
        <x:v>1985</x:v>
      </x:c>
      <x:c r="L3" s="115" t="str">
        <x:v>± 65,000 SF</x:v>
      </x:c>
      <x:c r="M3" s="115" t="str">
        <x:v>Two</x:v>
      </x:c>
      <x:c r="N3" s="115" t="str">
        <x:v>Brick and Steel</x:v>
      </x:c>
      <x:c r="O3" s="115" t="str">
        <x:v>Average</x:v>
      </x:c>
      <x:c r="P3" s="115" t="str">
        <x:v>Office/Commercial</x:v>
      </x:c>
      <x:c r="Q3" s="115" t="str">
        <x:v>Level</x:v>
      </x:c>
      <x:c r="R3" s="115" t="str">
        <x:v>Rectangular</x:v>
      </x:c>
      <x:c r="S3" s="115" t="str">
        <x:v>Zone X</x:v>
      </x:c>
      <x:c r="T3" s="115" t="str">
        <x:v>Good</x:v>
      </x:c>
      <x:c r="U3" s="115" t="str">
        <x:v>Good</x:v>
      </x:c>
      <x:c r="V3" s="115" t="str">
        <x:v>All Public</x:v>
      </x:c>
      <x:c r="W3" s="115" t="str">
        <x:v>Example Seller One, LLC</x:v>
      </x:c>
      <x:c r="X3" s="115" t="str">
        <x:v>Sample Buyer One, LLC</x:v>
      </x:c>
      <x:c r="Y3" s="115" t="str">
        <x:v>DEMO-DEED-001</x:v>
      </x:c>
      <x:c r="Z3" s="115" t="str">
        <x:v>Fictional QA Fixture</x:v>
      </x:c>
      <x:c r="AA3" s="115" t="str">
        <x:v>$166,500</x:v>
      </x:c>
      <x:c r="AB3" s="115" t="str">
        <x:v>$6.94</x:v>
      </x:c>
      <x:c r="AC3" s="115" t="str">
        <x:v>This fictional sale represents a similarly sized multi-tenant office property with average condition and comparable utility. Its reported price and income metrics exist solely to exercise automated comp-page generation.</x:v>
      </x:c>
      <x:c r="AD3" s="115" t="str">
        <x:v>Useful fictional size and use comparison for software QA.</x:v>
      </x:c>
      <x:c r="AE3" s="115" t="str">
        <x:v>125,000</x:v>
      </x:c>
      <x:c r="AF3" s="115" t="str">
        <x:v>$82,000</x:v>
      </x:c>
      <x:c r="AG3" s="115" t="str">
        <x:v>$1,950,000</x:v>
      </x:c>
      <x:c r="AH3" s="115" t="str">
        <x:v>8%</x:v>
      </x:c>
      <x:c r="AI3" s="115" t="str">
        <x:v>64 days</x:v>
      </x:c>
    </x:row>
    <x:row r="4" s="160" customFormat="1" ht="19.950000762939453" customHeight="1">
      <x:c r="A4" s="116" t="str">
        <x:v>Sale No. 2</x:v>
      </x:c>
      <x:c r="B4" s="115" t="str">
        <x:v>Example Heights</x:v>
      </x:c>
      <x:c r="C4" s="115" t="str">
        <x:v>425 Sample Center Boulevard</x:v>
      </x:c>
      <x:c r="D4" s="115" t="str">
        <x:v>Example Heights, Alabama 35002</x:v>
      </x:c>
      <x:c r="E4" s="115" t="str">
        <x:v>Multi-Tenant Office</x:v>
      </x:c>
      <x:c r="F4" s="115" t="str">
        <x:v>$1,550,000</x:v>
      </x:c>
      <x:c r="G4" s="115" t="str">
        <x:v>08/22/2024</x:v>
      </x:c>
      <x:c r="H4" s="115" t="str">
        <x:v>20,000 SF</x:v>
      </x:c>
      <x:c r="I4" s="115" t="str">
        <x:v>$77.50</x:v>
      </x:c>
      <x:c r="J4" s="115" t="str">
        <x:v>9.50%</x:v>
      </x:c>
      <x:c r="K4" s="115" t="str">
        <x:v>1978</x:v>
      </x:c>
      <x:c r="L4" s="115" t="str">
        <x:v>± 58,000 SF</x:v>
      </x:c>
      <x:c r="M4" s="115" t="str">
        <x:v>One</x:v>
      </x:c>
      <x:c r="N4" s="115" t="str">
        <x:v>Masonry</x:v>
      </x:c>
      <x:c r="O4" s="115" t="str">
        <x:v>Average</x:v>
      </x:c>
      <x:c r="P4" s="115" t="str">
        <x:v>Commercial</x:v>
      </x:c>
      <x:c r="Q4" s="115" t="str">
        <x:v>Gently Sloping</x:v>
      </x:c>
      <x:c r="R4" s="115" t="str">
        <x:v>Irregular</x:v>
      </x:c>
      <x:c r="S4" s="115" t="str">
        <x:v>Zone X</x:v>
      </x:c>
      <x:c r="T4" s="115" t="str">
        <x:v>Average</x:v>
      </x:c>
      <x:c r="U4" s="115" t="str">
        <x:v>Good</x:v>
      </x:c>
      <x:c r="V4" s="115" t="str">
        <x:v>All Public</x:v>
      </x:c>
      <x:c r="W4" s="115" t="str">
        <x:v>Example Seller Two, LLC</x:v>
      </x:c>
      <x:c r="X4" s="115" t="str">
        <x:v>Sample Buyer Two, LLC</x:v>
      </x:c>
      <x:c r="Y4" s="115" t="str">
        <x:v>DEMO-DEED-002</x:v>
      </x:c>
      <x:c r="Z4" s="115" t="str">
        <x:v>Fictional QA Fixture</x:v>
      </x:c>
      <x:c r="AA4" s="115" t="str">
        <x:v>$147,250</x:v>
      </x:c>
      <x:c r="AB4" s="115" t="str">
        <x:v>$7.36</x:v>
      </x:c>
      <x:c r="AC4" s="115" t="str">
        <x:v>This fictional sale is slightly smaller than the subject and reflects an older single-story office configuration. The record is synthetic and is not market evidence.</x:v>
      </x:c>
      <x:c r="AD4" s="115" t="str">
        <x:v>Useful fictional age and location comparison for software QA.</x:v>
      </x:c>
      <x:c r="AE4" s="115" t="str">
        <x:v>98,000</x:v>
      </x:c>
      <x:c r="AF4" s="115" t="str">
        <x:v>$76,500</x:v>
      </x:c>
      <x:c r="AG4" s="115" t="str">
        <x:v>$1,700,000</x:v>
      </x:c>
      <x:c r="AH4" s="115" t="str">
        <x:v>9%</x:v>
      </x:c>
      <x:c r="AI4" s="115" t="str">
        <x:v>91 days</x:v>
      </x:c>
    </x:row>
    <x:row r="5" s="160" customFormat="1" ht="19.950000762939453" customHeight="1">
      <x:c r="A5" s="114" t="str">
        <x:v>Sale No. 3</x:v>
      </x:c>
      <x:c r="B5" s="115" t="str">
        <x:v>Test Metro</x:v>
      </x:c>
      <x:c r="C5" s="115" t="str">
        <x:v>750 Demonstration Office Lane</x:v>
      </x:c>
      <x:c r="D5" s="115" t="str">
        <x:v>Test Metro, Alabama 35003</x:v>
      </x:c>
      <x:c r="E5" s="115" t="str">
        <x:v>Multi-Tenant Office</x:v>
      </x:c>
      <x:c r="F5" s="115" t="str">
        <x:v>$2,100,000</x:v>
      </x:c>
      <x:c r="G5" s="115" t="str">
        <x:v>11/07/2024</x:v>
      </x:c>
      <x:c r="H5" s="115" t="str">
        <x:v>27,000 SF</x:v>
      </x:c>
      <x:c r="I5" s="115" t="str">
        <x:v>$77.78</x:v>
      </x:c>
      <x:c r="J5" s="115" t="str">
        <x:v>9.00%</x:v>
      </x:c>
      <x:c r="K5" s="115" t="str">
        <x:v>1992</x:v>
      </x:c>
      <x:c r="L5" s="115" t="str">
        <x:v>± 72,000 SF</x:v>
      </x:c>
      <x:c r="M5" s="115" t="str">
        <x:v>Two</x:v>
      </x:c>
      <x:c r="N5" s="115" t="str">
        <x:v>Brick Veneer</x:v>
      </x:c>
      <x:c r="O5" s="115" t="str">
        <x:v>Good</x:v>
      </x:c>
      <x:c r="P5" s="115" t="str">
        <x:v>Office/Commercial</x:v>
      </x:c>
      <x:c r="Q5" s="115" t="str">
        <x:v>Level</x:v>
      </x:c>
      <x:c r="R5" s="115" t="str">
        <x:v>Rectangular</x:v>
      </x:c>
      <x:c r="S5" s="115" t="str">
        <x:v>Zone X</x:v>
      </x:c>
      <x:c r="T5" s="115" t="str">
        <x:v>Good</x:v>
      </x:c>
      <x:c r="U5" s="115" t="str">
        <x:v>Average</x:v>
      </x:c>
      <x:c r="V5" s="115" t="str">
        <x:v>All Public</x:v>
      </x:c>
      <x:c r="W5" s="115" t="str">
        <x:v>Example Seller Three, LLC</x:v>
      </x:c>
      <x:c r="X5" s="115" t="str">
        <x:v>Sample Buyer Three, LLC</x:v>
      </x:c>
      <x:c r="Y5" s="115" t="str">
        <x:v>DEMO-DEED-003</x:v>
      </x:c>
      <x:c r="Z5" s="115" t="str">
        <x:v>Fictional QA Fixture</x:v>
      </x:c>
      <x:c r="AA5" s="115" t="str">
        <x:v>$189,000</x:v>
      </x:c>
      <x:c r="AB5" s="115" t="str">
        <x:v>$7.00</x:v>
      </x:c>
      <x:c r="AC5" s="115" t="str">
        <x:v>This fictional sale is larger and newer than the subject, with a good-condition office profile. All facts are invented for repeatable pipeline testing.</x:v>
      </x:c>
      <x:c r="AD5" s="115" t="str">
        <x:v>Useful fictional condition and size comparison for software QA.</x:v>
      </x:c>
      <x:c r="AE5" s="115" t="str">
        <x:v>142,000</x:v>
      </x:c>
      <x:c r="AF5" s="115" t="str">
        <x:v>$88,000</x:v>
      </x:c>
      <x:c r="AG5" s="115" t="str">
        <x:v>$2,250,000</x:v>
      </x:c>
      <x:c r="AH5" s="115" t="str">
        <x:v>7%</x:v>
      </x:c>
      <x:c r="AI5" s="115" t="str">
        <x:v>48 days</x:v>
      </x:c>
    </x:row>
    <x:row r="6" s="160" customFormat="1" ht="19.950000762939453" customHeight="1">
      <x:c r="A6" s="116" t="inlineStr">
        <x:is>
          <x:t xml:space="preserve">Sale No. 4</x:t>
        </x:is>
      </x:c>
      <x:c r="B6" s="115" t="n"/>
      <x:c r="C6" s="115" t="n"/>
      <x:c r="D6" s="115" t="n"/>
      <x:c r="E6" s="115" t="n"/>
      <x:c r="F6" s="115" t="n"/>
      <x:c r="G6" s="115" t="n"/>
      <x:c r="H6" s="115" t="n"/>
      <x:c r="I6" s="115" t="n"/>
      <x:c r="J6" s="115" t="n"/>
      <x:c r="K6" s="115" t="n"/>
      <x:c r="L6" s="115" t="n"/>
      <x:c r="M6" s="115" t="n"/>
      <x:c r="N6" s="115" t="n"/>
      <x:c r="O6" s="115" t="n"/>
      <x:c r="P6" s="115" t="n"/>
      <x:c r="Q6" s="115" t="n"/>
      <x:c r="R6" s="115" t="n"/>
      <x:c r="S6" s="115" t="n"/>
      <x:c r="T6" s="115" t="n"/>
      <x:c r="U6" s="115" t="n"/>
      <x:c r="V6" s="115" t="n"/>
      <x:c r="W6" s="115" t="n"/>
      <x:c r="X6" s="115" t="n"/>
      <x:c r="Y6" s="115" t="n"/>
      <x:c r="Z6" s="115" t="n"/>
      <x:c r="AA6" s="115" t="n"/>
      <x:c r="AB6" s="115" t="n"/>
      <x:c r="AC6" s="115" t="n"/>
      <x:c r="AD6" s="115" t="n"/>
      <x:c r="AE6" s="115" t="n"/>
      <x:c r="AF6" s="115" t="n"/>
      <x:c r="AG6" s="115" t="n"/>
      <x:c r="AH6" s="115" t="n"/>
      <x:c r="AI6" s="115" t="n"/>
    </x:row>
    <x:row r="7" s="160" customFormat="1" ht="19.950000762939453" customHeight="1">
      <x:c r="A7" s="114" t="inlineStr">
        <x:is>
          <x:t xml:space="preserve">Sale No. 5</x:t>
        </x:is>
      </x:c>
      <x:c r="B7" s="115" t="n"/>
      <x:c r="C7" s="115" t="n"/>
      <x:c r="D7" s="115" t="n"/>
      <x:c r="E7" s="115" t="n"/>
      <x:c r="F7" s="115" t="n"/>
      <x:c r="G7" s="115" t="n"/>
      <x:c r="H7" s="115" t="n"/>
      <x:c r="I7" s="115" t="n"/>
      <x:c r="J7" s="115" t="n"/>
      <x:c r="K7" s="115" t="n"/>
      <x:c r="L7" s="115" t="n"/>
      <x:c r="M7" s="115" t="n"/>
      <x:c r="N7" s="115" t="n"/>
      <x:c r="O7" s="115" t="n"/>
      <x:c r="P7" s="115" t="n"/>
      <x:c r="Q7" s="115" t="n"/>
      <x:c r="R7" s="115" t="n"/>
      <x:c r="S7" s="115" t="n"/>
      <x:c r="T7" s="115" t="n"/>
      <x:c r="U7" s="115" t="n"/>
      <x:c r="V7" s="115" t="n"/>
      <x:c r="W7" s="115" t="n"/>
      <x:c r="X7" s="115" t="n"/>
      <x:c r="Y7" s="115" t="n"/>
      <x:c r="Z7" s="115" t="n"/>
      <x:c r="AA7" s="115" t="n"/>
      <x:c r="AB7" s="115" t="n"/>
      <x:c r="AC7" s="115" t="n"/>
      <x:c r="AD7" s="115" t="n"/>
      <x:c r="AE7" s="115" t="n"/>
      <x:c r="AF7" s="115" t="n"/>
      <x:c r="AG7" s="115" t="n"/>
      <x:c r="AH7" s="115" t="n"/>
      <x:c r="AI7" s="115" t="n"/>
    </x:row>
    <x:row r="8" s="160" customFormat="1" ht="19.950000762939453" customHeight="1">
      <x:c r="A8" s="116" t="inlineStr">
        <x:is>
          <x:t xml:space="preserve">Sale No. 6</x:t>
        </x:is>
      </x:c>
      <x:c r="B8" s="115" t="n"/>
      <x:c r="C8" s="115" t="n"/>
      <x:c r="D8" s="115" t="n"/>
      <x:c r="E8" s="115" t="n"/>
      <x:c r="F8" s="115" t="n"/>
      <x:c r="G8" s="115" t="n"/>
      <x:c r="H8" s="115" t="n"/>
      <x:c r="I8" s="115" t="n"/>
      <x:c r="J8" s="115" t="n"/>
      <x:c r="K8" s="115" t="n"/>
      <x:c r="L8" s="115" t="n"/>
      <x:c r="M8" s="115" t="n"/>
      <x:c r="N8" s="115" t="n"/>
      <x:c r="O8" s="115" t="n"/>
      <x:c r="P8" s="115" t="n"/>
      <x:c r="Q8" s="115" t="n"/>
      <x:c r="R8" s="115" t="n"/>
      <x:c r="S8" s="115" t="n"/>
      <x:c r="T8" s="115" t="n"/>
      <x:c r="U8" s="115" t="n"/>
      <x:c r="V8" s="115" t="n"/>
      <x:c r="W8" s="115" t="n"/>
      <x:c r="X8" s="115" t="n"/>
      <x:c r="Y8" s="115" t="n"/>
      <x:c r="Z8" s="115" t="n"/>
      <x:c r="AA8" s="115" t="n"/>
      <x:c r="AB8" s="115" t="n"/>
      <x:c r="AC8" s="115" t="n"/>
      <x:c r="AD8" s="115" t="n"/>
      <x:c r="AE8" s="115" t="n"/>
      <x:c r="AF8" s="115" t="n"/>
      <x:c r="AG8" s="115" t="n"/>
      <x:c r="AH8" s="115" t="n"/>
      <x:c r="AI8" s="115" t="n"/>
    </x:row>
    <x:row r="9" s="160" customFormat="1" ht="19.950000762939453" customHeight="1">
      <x:c r="A9" s="114" t="inlineStr">
        <x:is>
          <x:t xml:space="preserve">Sale No. 7</x:t>
        </x:is>
      </x:c>
      <x:c r="B9" s="115" t="n"/>
      <x:c r="C9" s="115" t="n"/>
      <x:c r="D9" s="115" t="n"/>
      <x:c r="E9" s="115" t="n"/>
      <x:c r="F9" s="115" t="n"/>
      <x:c r="G9" s="115" t="n"/>
      <x:c r="H9" s="115" t="n"/>
      <x:c r="I9" s="115" t="n"/>
      <x:c r="J9" s="115" t="n"/>
      <x:c r="K9" s="115" t="n"/>
      <x:c r="L9" s="115" t="n"/>
      <x:c r="M9" s="115" t="n"/>
      <x:c r="N9" s="115" t="n"/>
      <x:c r="O9" s="115" t="n"/>
      <x:c r="P9" s="115" t="n"/>
      <x:c r="Q9" s="115" t="n"/>
      <x:c r="R9" s="115" t="n"/>
      <x:c r="S9" s="115" t="n"/>
      <x:c r="T9" s="115" t="n"/>
      <x:c r="U9" s="115" t="n"/>
      <x:c r="V9" s="115" t="n"/>
      <x:c r="W9" s="115" t="n"/>
      <x:c r="X9" s="115" t="n"/>
      <x:c r="Y9" s="115" t="n"/>
      <x:c r="Z9" s="115" t="n"/>
      <x:c r="AA9" s="115" t="n"/>
      <x:c r="AB9" s="115" t="n"/>
      <x:c r="AC9" s="115" t="n"/>
      <x:c r="AD9" s="115" t="n"/>
      <x:c r="AE9" s="115" t="n"/>
      <x:c r="AF9" s="115" t="n"/>
      <x:c r="AG9" s="115" t="n"/>
      <x:c r="AH9" s="115" t="n"/>
      <x:c r="AI9" s="115" t="n"/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3.199999809265137"/>
  <x:cols>
    <x:col min="1" max="1" width="12" style="160" customWidth="1"/>
    <x:col min="2" max="7" width="14" style="160" customWidth="1"/>
  </x:cols>
  <x:sheetData>
    <x:row r="1" s="160" customFormat="1" ht="18" customHeight="1">
      <x:c r="A1" s="204" t="inlineStr">
        <x:is>
          <x:t xml:space="preserve">Dilmore Size Adjustment Table  —  Size Factor (A_c / A_s)</x:t>
        </x:is>
      </x:c>
      <x:c r="B1" s="162" t="n"/>
      <x:c r="C1" s="162" t="n"/>
      <x:c r="D1" s="162" t="n"/>
      <x:c r="E1" s="162" t="n"/>
      <x:c r="F1" s="162" t="n"/>
      <x:c r="G1" s="163" t="n"/>
    </x:row>
    <x:row r="2" s="160" customFormat="1" ht="13.949999809265137" customHeight="1">
      <x:c r="A2" s="200" t="inlineStr">
        <x:is>
          <x:t xml:space="preserve">A_c = Comparable GBA  |  A_s = Subject GBA  |  Factor = 1.00 means no size adjustment</x:t>
        </x:is>
      </x:c>
      <x:c r="B2" s="162" t="n"/>
      <x:c r="C2" s="162" t="n"/>
      <x:c r="D2" s="162" t="n"/>
      <x:c r="E2" s="162" t="n"/>
      <x:c r="F2" s="162" t="n"/>
      <x:c r="G2" s="163" t="n"/>
    </x:row>
    <x:row r="3" s="160" customFormat="1" ht="16.049999237060547" customHeight="1">
      <x:c r="A3" s="37" t="inlineStr">
        <x:is>
          <x:t xml:space="preserve">A_c / A_s</x:t>
        </x:is>
      </x:c>
      <x:c r="B3" s="37" t="inlineStr">
        <x:is>
          <x:t xml:space="preserve">80% Curve</x:t>
        </x:is>
      </x:c>
      <x:c r="C3" s="37" t="inlineStr">
        <x:is>
          <x:t xml:space="preserve">82.5% Curve</x:t>
        </x:is>
      </x:c>
      <x:c r="D3" s="37" t="inlineStr">
        <x:is>
          <x:t xml:space="preserve">85% Curve</x:t>
        </x:is>
      </x:c>
      <x:c r="E3" s="37" t="inlineStr">
        <x:is>
          <x:t xml:space="preserve">87.5% Curve</x:t>
        </x:is>
      </x:c>
      <x:c r="F3" s="37" t="inlineStr">
        <x:is>
          <x:t xml:space="preserve">90% Curve</x:t>
        </x:is>
      </x:c>
      <x:c r="G3" s="37" t="inlineStr">
        <x:is>
          <x:t xml:space="preserve">Adj % (85%)</x:t>
        </x:is>
      </x:c>
    </x:row>
    <x:row r="4" s="160" customFormat="1" ht="13.050000190734863" customHeight="1">
      <x:c r="A4" s="117" t="n">
        <x:v>0.01</x:v>
      </x:c>
      <x:c r="B4" s="118" t="n">
        <x:v>0.23</x:v>
      </x:c>
      <x:c r="C4" s="118" t="n">
        <x:v>0.28</x:v>
      </x:c>
      <x:c r="D4" s="118" t="n">
        <x:v>0.34</x:v>
      </x:c>
      <x:c r="E4" s="118" t="n">
        <x:v>0.41</x:v>
      </x:c>
      <x:c r="F4" s="118" t="n">
        <x:v>0.5</x:v>
      </x:c>
      <x:c r="G4" s="118" t="inlineStr">
        <x:is>
          <x:t xml:space="preserve">-66.0%</x:t>
        </x:is>
      </x:c>
    </x:row>
    <x:row r="5" s="160" customFormat="1" ht="13.050000190734863" customHeight="1">
      <x:c r="A5" s="119" t="n">
        <x:v>0.02</x:v>
      </x:c>
      <x:c r="B5" s="120" t="n">
        <x:v>0.28</x:v>
      </x:c>
      <x:c r="C5" s="120" t="n">
        <x:v>0.34</x:v>
      </x:c>
      <x:c r="D5" s="120" t="n">
        <x:v>0.4</x:v>
      </x:c>
      <x:c r="E5" s="120" t="n">
        <x:v>0.47</x:v>
      </x:c>
      <x:c r="F5" s="120" t="n">
        <x:v>0.55</x:v>
      </x:c>
      <x:c r="G5" s="120" t="inlineStr">
        <x:is>
          <x:t xml:space="preserve">-60.0%</x:t>
        </x:is>
      </x:c>
    </x:row>
    <x:row r="6" s="160" customFormat="1" ht="13.050000190734863" customHeight="1">
      <x:c r="A6" s="117" t="n">
        <x:v>0.03</x:v>
      </x:c>
      <x:c r="B6" s="118" t="n">
        <x:v>0.32</x:v>
      </x:c>
      <x:c r="C6" s="118" t="n">
        <x:v>0.38</x:v>
      </x:c>
      <x:c r="D6" s="118" t="n">
        <x:v>0.44</x:v>
      </x:c>
      <x:c r="E6" s="118" t="n">
        <x:v>0.51</x:v>
      </x:c>
      <x:c r="F6" s="118" t="n">
        <x:v>0.59</x:v>
      </x:c>
      <x:c r="G6" s="118" t="inlineStr">
        <x:is>
          <x:t xml:space="preserve">-56.0%</x:t>
        </x:is>
      </x:c>
    </x:row>
    <x:row r="7" s="160" customFormat="1" ht="13.050000190734863" customHeight="1">
      <x:c r="A7" s="119" t="n">
        <x:v>0.04</x:v>
      </x:c>
      <x:c r="B7" s="120" t="n">
        <x:v>0.35</x:v>
      </x:c>
      <x:c r="C7" s="120" t="n">
        <x:v>0.41</x:v>
      </x:c>
      <x:c r="D7" s="120" t="n">
        <x:v>0.47</x:v>
      </x:c>
      <x:c r="E7" s="120" t="n">
        <x:v>0.54</x:v>
      </x:c>
      <x:c r="F7" s="120" t="n">
        <x:v>0.61</x:v>
      </x:c>
      <x:c r="G7" s="120" t="inlineStr">
        <x:is>
          <x:t xml:space="preserve">-53.0%</x:t>
        </x:is>
      </x:c>
    </x:row>
    <x:row r="8" s="160" customFormat="1" ht="13.050000190734863" customHeight="1">
      <x:c r="A8" s="117" t="n">
        <x:v>0.05</x:v>
      </x:c>
      <x:c r="B8" s="118" t="n">
        <x:v>0.38</x:v>
      </x:c>
      <x:c r="C8" s="118" t="n">
        <x:v>0.44</x:v>
      </x:c>
      <x:c r="D8" s="118" t="n">
        <x:v>0.49</x:v>
      </x:c>
      <x:c r="E8" s="118" t="n">
        <x:v>0.5600000000000001</x:v>
      </x:c>
      <x:c r="F8" s="118" t="n">
        <x:v>0.63</x:v>
      </x:c>
      <x:c r="G8" s="118" t="inlineStr">
        <x:is>
          <x:t xml:space="preserve">-51.0%</x:t>
        </x:is>
      </x:c>
    </x:row>
    <x:row r="9" s="160" customFormat="1" ht="13.050000190734863" customHeight="1">
      <x:c r="A9" s="119" t="n">
        <x:v>0.06</x:v>
      </x:c>
      <x:c r="B9" s="120" t="n">
        <x:v>0.4</x:v>
      </x:c>
      <x:c r="C9" s="120" t="n">
        <x:v>0.46</x:v>
      </x:c>
      <x:c r="D9" s="120" t="n">
        <x:v>0.52</x:v>
      </x:c>
      <x:c r="E9" s="120" t="n">
        <x:v>0.58</x:v>
      </x:c>
      <x:c r="F9" s="120" t="n">
        <x:v>0.65</x:v>
      </x:c>
      <x:c r="G9" s="120" t="inlineStr">
        <x:is>
          <x:t xml:space="preserve">-48.0%</x:t>
        </x:is>
      </x:c>
    </x:row>
    <x:row r="10" s="160" customFormat="1" ht="13.050000190734863" customHeight="1">
      <x:c r="A10" s="117" t="n">
        <x:v>0.07000000000000001</x:v>
      </x:c>
      <x:c r="B10" s="118" t="n">
        <x:v>0.42</x:v>
      </x:c>
      <x:c r="C10" s="118" t="n">
        <x:v>0.48</x:v>
      </x:c>
      <x:c r="D10" s="118" t="n">
        <x:v>0.54</x:v>
      </x:c>
      <x:c r="E10" s="118" t="n">
        <x:v>0.6</x:v>
      </x:c>
      <x:c r="F10" s="118" t="n">
        <x:v>0.67</x:v>
      </x:c>
      <x:c r="G10" s="118" t="inlineStr">
        <x:is>
          <x:t xml:space="preserve">-46.0%</x:t>
        </x:is>
      </x:c>
    </x:row>
    <x:row r="11" s="160" customFormat="1" ht="13.050000190734863" customHeight="1">
      <x:c r="A11" s="119" t="n">
        <x:v>0.08</x:v>
      </x:c>
      <x:c r="B11" s="120" t="n">
        <x:v>0.44</x:v>
      </x:c>
      <x:c r="C11" s="120" t="n">
        <x:v>0.5</x:v>
      </x:c>
      <x:c r="D11" s="120" t="n">
        <x:v>0.55</x:v>
      </x:c>
      <x:c r="E11" s="120" t="n">
        <x:v>0.61</x:v>
      </x:c>
      <x:c r="F11" s="120" t="n">
        <x:v>0.68</x:v>
      </x:c>
      <x:c r="G11" s="120" t="inlineStr">
        <x:is>
          <x:t xml:space="preserve">-45.0%</x:t>
        </x:is>
      </x:c>
    </x:row>
    <x:row r="12" s="160" customFormat="1" ht="13.050000190734863" customHeight="1">
      <x:c r="A12" s="117" t="n">
        <x:v>0.09</x:v>
      </x:c>
      <x:c r="B12" s="118" t="n">
        <x:v>0.46</x:v>
      </x:c>
      <x:c r="C12" s="118" t="n">
        <x:v>0.51</x:v>
      </x:c>
      <x:c r="D12" s="118" t="n">
        <x:v>0.57</x:v>
      </x:c>
      <x:c r="E12" s="118" t="n">
        <x:v>0.63</x:v>
      </x:c>
      <x:c r="F12" s="118" t="n">
        <x:v>0.6899999999999999</x:v>
      </x:c>
      <x:c r="G12" s="118" t="inlineStr">
        <x:is>
          <x:t xml:space="preserve">-43.0%</x:t>
        </x:is>
      </x:c>
    </x:row>
    <x:row r="13" s="160" customFormat="1" ht="13.050000190734863" customHeight="1">
      <x:c r="A13" s="119" t="n">
        <x:v>0.1</x:v>
      </x:c>
      <x:c r="B13" s="120" t="n">
        <x:v>0.48</x:v>
      </x:c>
      <x:c r="C13" s="120" t="n">
        <x:v>0.53</x:v>
      </x:c>
      <x:c r="D13" s="120" t="n">
        <x:v>0.58</x:v>
      </x:c>
      <x:c r="E13" s="120" t="n">
        <x:v>0.64</x:v>
      </x:c>
      <x:c r="F13" s="120" t="n">
        <x:v>0.7</x:v>
      </x:c>
      <x:c r="G13" s="120" t="inlineStr">
        <x:is>
          <x:t xml:space="preserve">-42.0%</x:t>
        </x:is>
      </x:c>
    </x:row>
    <x:row r="14" s="160" customFormat="1" ht="13.050000190734863" customHeight="1">
      <x:c r="A14" s="117" t="n">
        <x:v>0.11</x:v>
      </x:c>
      <x:c r="B14" s="118" t="n">
        <x:v>0.49</x:v>
      </x:c>
      <x:c r="C14" s="118" t="n">
        <x:v>0.54</x:v>
      </x:c>
      <x:c r="D14" s="118" t="n">
        <x:v>0.6</x:v>
      </x:c>
      <x:c r="E14" s="118" t="n">
        <x:v>0.65</x:v>
      </x:c>
      <x:c r="F14" s="118" t="n">
        <x:v>0.71</x:v>
      </x:c>
      <x:c r="G14" s="118" t="inlineStr">
        <x:is>
          <x:t xml:space="preserve">-40.0%</x:t>
        </x:is>
      </x:c>
    </x:row>
    <x:row r="15" s="160" customFormat="1" ht="13.050000190734863" customHeight="1">
      <x:c r="A15" s="119" t="n">
        <x:v>0.12</x:v>
      </x:c>
      <x:c r="B15" s="120" t="n">
        <x:v>0.51</x:v>
      </x:c>
      <x:c r="C15" s="120" t="n">
        <x:v>0.5600000000000001</x:v>
      </x:c>
      <x:c r="D15" s="120" t="n">
        <x:v>0.61</x:v>
      </x:c>
      <x:c r="E15" s="120" t="n">
        <x:v>0.66</x:v>
      </x:c>
      <x:c r="F15" s="120" t="n">
        <x:v>0.72</x:v>
      </x:c>
      <x:c r="G15" s="120" t="inlineStr">
        <x:is>
          <x:t xml:space="preserve">-39.0%</x:t>
        </x:is>
      </x:c>
    </x:row>
    <x:row r="16" s="160" customFormat="1" ht="13.050000190734863" customHeight="1">
      <x:c r="A16" s="117" t="n">
        <x:v>0.13</x:v>
      </x:c>
      <x:c r="B16" s="118" t="n">
        <x:v>0.52</x:v>
      </x:c>
      <x:c r="C16" s="118" t="n">
        <x:v>0.57</x:v>
      </x:c>
      <x:c r="D16" s="118" t="n">
        <x:v>0.62</x:v>
      </x:c>
      <x:c r="E16" s="118" t="n">
        <x:v>0.68</x:v>
      </x:c>
      <x:c r="F16" s="118" t="n">
        <x:v>0.73</x:v>
      </x:c>
      <x:c r="G16" s="118" t="inlineStr">
        <x:is>
          <x:t xml:space="preserve">-38.0%</x:t>
        </x:is>
      </x:c>
    </x:row>
    <x:row r="17" s="160" customFormat="1" ht="13.050000190734863" customHeight="1">
      <x:c r="A17" s="119" t="n">
        <x:v>0.14</x:v>
      </x:c>
      <x:c r="B17" s="120" t="n">
        <x:v>0.53</x:v>
      </x:c>
      <x:c r="C17" s="120" t="n">
        <x:v>0.58</x:v>
      </x:c>
      <x:c r="D17" s="120" t="n">
        <x:v>0.63</x:v>
      </x:c>
      <x:c r="E17" s="120" t="n">
        <x:v>0.68</x:v>
      </x:c>
      <x:c r="F17" s="120" t="n">
        <x:v>0.74</x:v>
      </x:c>
      <x:c r="G17" s="120" t="inlineStr">
        <x:is>
          <x:t xml:space="preserve">-37.0%</x:t>
        </x:is>
      </x:c>
    </x:row>
    <x:row r="18" s="160" customFormat="1" ht="13.050000190734863" customHeight="1">
      <x:c r="A18" s="117" t="n">
        <x:v>0.15</x:v>
      </x:c>
      <x:c r="B18" s="118" t="n">
        <x:v>0.54</x:v>
      </x:c>
      <x:c r="C18" s="118" t="n">
        <x:v>0.59</x:v>
      </x:c>
      <x:c r="D18" s="118" t="n">
        <x:v>0.64</x:v>
      </x:c>
      <x:c r="E18" s="118" t="n">
        <x:v>0.6899999999999999</x:v>
      </x:c>
      <x:c r="F18" s="118" t="n">
        <x:v>0.75</x:v>
      </x:c>
      <x:c r="G18" s="118" t="inlineStr">
        <x:is>
          <x:t xml:space="preserve">-36.0%</x:t>
        </x:is>
      </x:c>
    </x:row>
    <x:row r="19" s="160" customFormat="1" ht="13.050000190734863" customHeight="1">
      <x:c r="A19" s="119" t="n">
        <x:v>0.16</x:v>
      </x:c>
      <x:c r="B19" s="120" t="n">
        <x:v>0.55</x:v>
      </x:c>
      <x:c r="C19" s="120" t="n">
        <x:v>0.6</x:v>
      </x:c>
      <x:c r="D19" s="120" t="n">
        <x:v>0.65</x:v>
      </x:c>
      <x:c r="E19" s="120" t="n">
        <x:v>0.7</x:v>
      </x:c>
      <x:c r="F19" s="120" t="n">
        <x:v>0.76</x:v>
      </x:c>
      <x:c r="G19" s="120" t="inlineStr">
        <x:is>
          <x:t xml:space="preserve">-35.0%</x:t>
        </x:is>
      </x:c>
    </x:row>
    <x:row r="20" s="160" customFormat="1" ht="13.050000190734863" customHeight="1">
      <x:c r="A20" s="117" t="n">
        <x:v>0.17</x:v>
      </x:c>
      <x:c r="B20" s="118" t="n">
        <x:v>0.57</x:v>
      </x:c>
      <x:c r="C20" s="118" t="n">
        <x:v>0.61</x:v>
      </x:c>
      <x:c r="D20" s="118" t="n">
        <x:v>0.66</x:v>
      </x:c>
      <x:c r="E20" s="118" t="n">
        <x:v>0.71</x:v>
      </x:c>
      <x:c r="F20" s="118" t="n">
        <x:v>0.76</x:v>
      </x:c>
      <x:c r="G20" s="118" t="inlineStr">
        <x:is>
          <x:t xml:space="preserve">-34.0%</x:t>
        </x:is>
      </x:c>
    </x:row>
    <x:row r="21" s="160" customFormat="1" ht="13.050000190734863" customHeight="1">
      <x:c r="A21" s="119" t="n">
        <x:v>0.18</x:v>
      </x:c>
      <x:c r="B21" s="120" t="n">
        <x:v>0.58</x:v>
      </x:c>
      <x:c r="C21" s="120" t="n">
        <x:v>0.62</x:v>
      </x:c>
      <x:c r="D21" s="120" t="n">
        <x:v>0.67</x:v>
      </x:c>
      <x:c r="E21" s="120" t="n">
        <x:v>0.72</x:v>
      </x:c>
      <x:c r="F21" s="120" t="n">
        <x:v>0.77</x:v>
      </x:c>
      <x:c r="G21" s="120" t="inlineStr">
        <x:is>
          <x:t xml:space="preserve">-33.0%</x:t>
        </x:is>
      </x:c>
    </x:row>
    <x:row r="22" s="160" customFormat="1" ht="13.050000190734863" customHeight="1">
      <x:c r="A22" s="117" t="n">
        <x:v>0.19</x:v>
      </x:c>
      <x:c r="B22" s="118" t="n">
        <x:v>0.59</x:v>
      </x:c>
      <x:c r="C22" s="118" t="n">
        <x:v>0.63</x:v>
      </x:c>
      <x:c r="D22" s="118" t="n">
        <x:v>0.68</x:v>
      </x:c>
      <x:c r="E22" s="118" t="n">
        <x:v>0.73</x:v>
      </x:c>
      <x:c r="F22" s="118" t="n">
        <x:v>0.78</x:v>
      </x:c>
      <x:c r="G22" s="118" t="inlineStr">
        <x:is>
          <x:t xml:space="preserve">-32.0%</x:t>
        </x:is>
      </x:c>
    </x:row>
    <x:row r="23" s="160" customFormat="1" ht="13.050000190734863" customHeight="1">
      <x:c r="A23" s="119" t="n">
        <x:v>0.2</x:v>
      </x:c>
      <x:c r="B23" s="120" t="n">
        <x:v>0.6</x:v>
      </x:c>
      <x:c r="C23" s="120" t="n">
        <x:v>0.64</x:v>
      </x:c>
      <x:c r="D23" s="120" t="n">
        <x:v>0.6899999999999999</x:v>
      </x:c>
      <x:c r="E23" s="120" t="n">
        <x:v>0.73</x:v>
      </x:c>
      <x:c r="F23" s="120" t="n">
        <x:v>0.78</x:v>
      </x:c>
      <x:c r="G23" s="120" t="inlineStr">
        <x:is>
          <x:t xml:space="preserve">-31.0%</x:t>
        </x:is>
      </x:c>
    </x:row>
    <x:row r="24" s="160" customFormat="1" ht="13.050000190734863" customHeight="1">
      <x:c r="A24" s="117" t="n">
        <x:v>0.25</x:v>
      </x:c>
      <x:c r="B24" s="118" t="n">
        <x:v>0.64</x:v>
      </x:c>
      <x:c r="C24" s="118" t="n">
        <x:v>0.68</x:v>
      </x:c>
      <x:c r="D24" s="118" t="n">
        <x:v>0.72</x:v>
      </x:c>
      <x:c r="E24" s="118" t="n">
        <x:v>0.77</x:v>
      </x:c>
      <x:c r="F24" s="118" t="n">
        <x:v>0.8100000000000001</x:v>
      </x:c>
      <x:c r="G24" s="118" t="inlineStr">
        <x:is>
          <x:t xml:space="preserve">-28.0%</x:t>
        </x:is>
      </x:c>
    </x:row>
    <x:row r="25" s="160" customFormat="1" ht="13.050000190734863" customHeight="1">
      <x:c r="A25" s="119" t="n">
        <x:v>0.3</x:v>
      </x:c>
      <x:c r="B25" s="120" t="n">
        <x:v>0.68</x:v>
      </x:c>
      <x:c r="C25" s="120" t="n">
        <x:v>0.72</x:v>
      </x:c>
      <x:c r="D25" s="120" t="n">
        <x:v>0.75</x:v>
      </x:c>
      <x:c r="E25" s="120" t="n">
        <x:v>0.79</x:v>
      </x:c>
      <x:c r="F25" s="120" t="n">
        <x:v>0.83</x:v>
      </x:c>
      <x:c r="G25" s="120" t="inlineStr">
        <x:is>
          <x:t xml:space="preserve">-25.0%</x:t>
        </x:is>
      </x:c>
    </x:row>
    <x:row r="26" s="160" customFormat="1" ht="13.050000190734863" customHeight="1">
      <x:c r="A26" s="117" t="n">
        <x:v>0.35</x:v>
      </x:c>
      <x:c r="B26" s="118" t="n">
        <x:v>0.71</x:v>
      </x:c>
      <x:c r="C26" s="118" t="n">
        <x:v>0.75</x:v>
      </x:c>
      <x:c r="D26" s="118" t="n">
        <x:v>0.78</x:v>
      </x:c>
      <x:c r="E26" s="118" t="n">
        <x:v>0.82</x:v>
      </x:c>
      <x:c r="F26" s="118" t="n">
        <x:v>0.85</x:v>
      </x:c>
      <x:c r="G26" s="118" t="inlineStr">
        <x:is>
          <x:t xml:space="preserve">-22.0%</x:t>
        </x:is>
      </x:c>
    </x:row>
    <x:row r="27" s="160" customFormat="1" ht="13.050000190734863" customHeight="1">
      <x:c r="A27" s="119" t="n">
        <x:v>0.4</x:v>
      </x:c>
      <x:c r="B27" s="120" t="n">
        <x:v>0.74</x:v>
      </x:c>
      <x:c r="C27" s="120" t="n">
        <x:v>0.78</x:v>
      </x:c>
      <x:c r="D27" s="120" t="n">
        <x:v>0.8100000000000001</x:v>
      </x:c>
      <x:c r="E27" s="120" t="n">
        <x:v>0.84</x:v>
      </x:c>
      <x:c r="F27" s="120" t="n">
        <x:v>0.87</x:v>
      </x:c>
      <x:c r="G27" s="120" t="inlineStr">
        <x:is>
          <x:t xml:space="preserve">-19.0%</x:t>
        </x:is>
      </x:c>
    </x:row>
    <x:row r="28" s="160" customFormat="1" ht="13.050000190734863" customHeight="1">
      <x:c r="A28" s="117" t="n">
        <x:v>0.45</x:v>
      </x:c>
      <x:c r="B28" s="118" t="n">
        <x:v>0.77</x:v>
      </x:c>
      <x:c r="C28" s="118" t="n">
        <x:v>0.8</x:v>
      </x:c>
      <x:c r="D28" s="118" t="n">
        <x:v>0.83</x:v>
      </x:c>
      <x:c r="E28" s="118" t="n">
        <x:v>0.86</x:v>
      </x:c>
      <x:c r="F28" s="118" t="n">
        <x:v>0.89</x:v>
      </x:c>
      <x:c r="G28" s="118" t="inlineStr">
        <x:is>
          <x:t xml:space="preserve">-17.0%</x:t>
        </x:is>
      </x:c>
    </x:row>
    <x:row r="29" s="160" customFormat="1" ht="13.050000190734863" customHeight="1">
      <x:c r="A29" s="119" t="n">
        <x:v>0.5</x:v>
      </x:c>
      <x:c r="B29" s="120" t="n">
        <x:v>0.8</x:v>
      </x:c>
      <x:c r="C29" s="120" t="n">
        <x:v>0.82</x:v>
      </x:c>
      <x:c r="D29" s="120" t="n">
        <x:v>0.85</x:v>
      </x:c>
      <x:c r="E29" s="120" t="n">
        <x:v>0.88</x:v>
      </x:c>
      <x:c r="F29" s="120" t="n">
        <x:v>0.9</x:v>
      </x:c>
      <x:c r="G29" s="120" t="inlineStr">
        <x:is>
          <x:t xml:space="preserve">-15.0%</x:t>
        </x:is>
      </x:c>
    </x:row>
    <x:row r="30" s="160" customFormat="1" ht="13.050000190734863" customHeight="1">
      <x:c r="A30" s="117" t="n">
        <x:v>0.55</x:v>
      </x:c>
      <x:c r="B30" s="118" t="n">
        <x:v>0.82</x:v>
      </x:c>
      <x:c r="C30" s="118" t="n">
        <x:v>0.85</x:v>
      </x:c>
      <x:c r="D30" s="118" t="n">
        <x:v>0.87</x:v>
      </x:c>
      <x:c r="E30" s="118" t="n">
        <x:v>0.89</x:v>
      </x:c>
      <x:c r="F30" s="118" t="n">
        <x:v>0.91</x:v>
      </x:c>
      <x:c r="G30" s="118" t="inlineStr">
        <x:is>
          <x:t xml:space="preserve">-13.0%</x:t>
        </x:is>
      </x:c>
    </x:row>
    <x:row r="31" s="160" customFormat="1" ht="13.050000190734863" customHeight="1">
      <x:c r="A31" s="119" t="n">
        <x:v>0.6</x:v>
      </x:c>
      <x:c r="B31" s="120" t="n">
        <x:v>0.85</x:v>
      </x:c>
      <x:c r="C31" s="120" t="n">
        <x:v>0.87</x:v>
      </x:c>
      <x:c r="D31" s="120" t="n">
        <x:v>0.89</x:v>
      </x:c>
      <x:c r="E31" s="120" t="n">
        <x:v>0.91</x:v>
      </x:c>
      <x:c r="F31" s="120" t="n">
        <x:v>0.93</x:v>
      </x:c>
      <x:c r="G31" s="120" t="inlineStr">
        <x:is>
          <x:t xml:space="preserve">-11.0%</x:t>
        </x:is>
      </x:c>
    </x:row>
    <x:row r="32" s="160" customFormat="1" ht="13.050000190734863" customHeight="1">
      <x:c r="A32" s="117" t="n">
        <x:v>0.65</x:v>
      </x:c>
      <x:c r="B32" s="118" t="n">
        <x:v>0.87</x:v>
      </x:c>
      <x:c r="C32" s="118" t="n">
        <x:v>0.89</x:v>
      </x:c>
      <x:c r="D32" s="118" t="n">
        <x:v>0.9</x:v>
      </x:c>
      <x:c r="E32" s="118" t="n">
        <x:v>0.92</x:v>
      </x:c>
      <x:c r="F32" s="118" t="n">
        <x:v>0.9399999999999999</x:v>
      </x:c>
      <x:c r="G32" s="118" t="inlineStr">
        <x:is>
          <x:t xml:space="preserve">-10.0%</x:t>
        </x:is>
      </x:c>
    </x:row>
    <x:row r="33" s="160" customFormat="1" ht="13.050000190734863" customHeight="1">
      <x:c r="A33" s="119" t="n">
        <x:v>0.7</x:v>
      </x:c>
      <x:c r="B33" s="120" t="n">
        <x:v>0.89</x:v>
      </x:c>
      <x:c r="C33" s="120" t="n">
        <x:v>0.91</x:v>
      </x:c>
      <x:c r="D33" s="120" t="n">
        <x:v>0.92</x:v>
      </x:c>
      <x:c r="E33" s="120" t="n">
        <x:v>0.93</x:v>
      </x:c>
      <x:c r="F33" s="120" t="n">
        <x:v>0.95</x:v>
      </x:c>
      <x:c r="G33" s="120" t="inlineStr">
        <x:is>
          <x:t xml:space="preserve">-8.0%</x:t>
        </x:is>
      </x:c>
    </x:row>
    <x:row r="34" s="160" customFormat="1" ht="13.050000190734863" customHeight="1">
      <x:c r="A34" s="117" t="n">
        <x:v>0.75</x:v>
      </x:c>
      <x:c r="B34" s="118" t="n">
        <x:v>0.91</x:v>
      </x:c>
      <x:c r="C34" s="118" t="n">
        <x:v>0.92</x:v>
      </x:c>
      <x:c r="D34" s="118" t="n">
        <x:v>0.93</x:v>
      </x:c>
      <x:c r="E34" s="118" t="n">
        <x:v>0.95</x:v>
      </x:c>
      <x:c r="F34" s="118" t="n">
        <x:v>0.96</x:v>
      </x:c>
      <x:c r="G34" s="118" t="inlineStr">
        <x:is>
          <x:t xml:space="preserve">-7.0%</x:t>
        </x:is>
      </x:c>
    </x:row>
    <x:row r="35" s="160" customFormat="1" ht="13.050000190734863" customHeight="1">
      <x:c r="A35" s="119" t="n">
        <x:v>0.8</x:v>
      </x:c>
      <x:c r="B35" s="120" t="n">
        <x:v>0.93</x:v>
      </x:c>
      <x:c r="C35" s="120" t="n">
        <x:v>0.9399999999999999</x:v>
      </x:c>
      <x:c r="D35" s="120" t="n">
        <x:v>0.95</x:v>
      </x:c>
      <x:c r="E35" s="120" t="n">
        <x:v>0.96</x:v>
      </x:c>
      <x:c r="F35" s="120" t="n">
        <x:v>0.97</x:v>
      </x:c>
      <x:c r="G35" s="120" t="inlineStr">
        <x:is>
          <x:t xml:space="preserve">-5.0%</x:t>
        </x:is>
      </x:c>
    </x:row>
    <x:row r="36" s="160" customFormat="1" ht="13.050000190734863" customHeight="1">
      <x:c r="A36" s="117" t="n">
        <x:v>0.85</x:v>
      </x:c>
      <x:c r="B36" s="118" t="n">
        <x:v>0.95</x:v>
      </x:c>
      <x:c r="C36" s="118" t="n">
        <x:v>0.96</x:v>
      </x:c>
      <x:c r="D36" s="118" t="n">
        <x:v>0.96</x:v>
      </x:c>
      <x:c r="E36" s="118" t="n">
        <x:v>0.97</x:v>
      </x:c>
      <x:c r="F36" s="118" t="n">
        <x:v>0.98</x:v>
      </x:c>
      <x:c r="G36" s="118" t="inlineStr">
        <x:is>
          <x:t xml:space="preserve">-4.0%</x:t>
        </x:is>
      </x:c>
    </x:row>
    <x:row r="37" s="160" customFormat="1" ht="13.050000190734863" customHeight="1">
      <x:c r="A37" s="119" t="n">
        <x:v>0.9</x:v>
      </x:c>
      <x:c r="B37" s="120" t="n">
        <x:v>0.97</x:v>
      </x:c>
      <x:c r="C37" s="120" t="n">
        <x:v>0.97</x:v>
      </x:c>
      <x:c r="D37" s="120" t="n">
        <x:v>0.98</x:v>
      </x:c>
      <x:c r="E37" s="120" t="n">
        <x:v>0.98</x:v>
      </x:c>
      <x:c r="F37" s="120" t="n">
        <x:v>0.98</x:v>
      </x:c>
      <x:c r="G37" s="120" t="inlineStr">
        <x:is>
          <x:t xml:space="preserve">-2.0%</x:t>
        </x:is>
      </x:c>
    </x:row>
    <x:row r="38" s="160" customFormat="1" ht="13.050000190734863" customHeight="1">
      <x:c r="A38" s="117" t="n">
        <x:v>0.95</x:v>
      </x:c>
      <x:c r="B38" s="118" t="n">
        <x:v>0.98</x:v>
      </x:c>
      <x:c r="C38" s="118" t="n">
        <x:v>0.99</x:v>
      </x:c>
      <x:c r="D38" s="118" t="n">
        <x:v>0.99</x:v>
      </x:c>
      <x:c r="E38" s="118" t="n">
        <x:v>0.99</x:v>
      </x:c>
      <x:c r="F38" s="118" t="n">
        <x:v>0.99</x:v>
      </x:c>
      <x:c r="G38" s="118" t="inlineStr">
        <x:is>
          <x:t xml:space="preserve">-1.0%</x:t>
        </x:is>
      </x:c>
    </x:row>
    <x:row r="39" s="160" customFormat="1" ht="13.050000190734863" customHeight="1">
      <x:c r="A39" s="119" t="n">
        <x:v>1</x:v>
      </x:c>
      <x:c r="B39" s="120" t="n">
        <x:v>1</x:v>
      </x:c>
      <x:c r="C39" s="120" t="n">
        <x:v>1</x:v>
      </x:c>
      <x:c r="D39" s="120" t="n">
        <x:v>1</x:v>
      </x:c>
      <x:c r="E39" s="120" t="n">
        <x:v>1</x:v>
      </x:c>
      <x:c r="F39" s="120" t="n">
        <x:v>1</x:v>
      </x:c>
      <x:c r="G39" s="120" t="inlineStr">
        <x:is>
          <x:t xml:space="preserve">+0.0%</x:t>
        </x:is>
      </x:c>
    </x:row>
    <x:row r="40" s="160" customFormat="1" ht="13.050000190734863" customHeight="1">
      <x:c r="A40" s="117" t="n">
        <x:v>1.1</x:v>
      </x:c>
      <x:c r="B40" s="118" t="n">
        <x:v>1.03</x:v>
      </x:c>
      <x:c r="C40" s="118" t="n">
        <x:v>1.03</x:v>
      </x:c>
      <x:c r="D40" s="118" t="n">
        <x:v>1.02</x:v>
      </x:c>
      <x:c r="E40" s="118" t="n">
        <x:v>1.02</x:v>
      </x:c>
      <x:c r="F40" s="118" t="n">
        <x:v>1.01</x:v>
      </x:c>
      <x:c r="G40" s="118" t="inlineStr">
        <x:is>
          <x:t xml:space="preserve">+2.0%</x:t>
        </x:is>
      </x:c>
    </x:row>
    <x:row r="41" s="160" customFormat="1" ht="13.050000190734863" customHeight="1">
      <x:c r="A41" s="119" t="n">
        <x:v>1.2</x:v>
      </x:c>
      <x:c r="B41" s="120" t="n">
        <x:v>1.06</x:v>
      </x:c>
      <x:c r="C41" s="120" t="n">
        <x:v>1.05</x:v>
      </x:c>
      <x:c r="D41" s="120" t="n">
        <x:v>1.04</x:v>
      </x:c>
      <x:c r="E41" s="120" t="n">
        <x:v>1.04</x:v>
      </x:c>
      <x:c r="F41" s="120" t="n">
        <x:v>1.03</x:v>
      </x:c>
      <x:c r="G41" s="120" t="inlineStr">
        <x:is>
          <x:t xml:space="preserve">+4.0%</x:t>
        </x:is>
      </x:c>
    </x:row>
    <x:row r="42" s="160" customFormat="1" ht="13.050000190734863" customHeight="1">
      <x:c r="A42" s="117" t="n">
        <x:v>1.3</x:v>
      </x:c>
      <x:c r="B42" s="118" t="n">
        <x:v>1.09</x:v>
      </x:c>
      <x:c r="C42" s="118" t="n">
        <x:v>1.08</x:v>
      </x:c>
      <x:c r="D42" s="118" t="n">
        <x:v>1.06</x:v>
      </x:c>
      <x:c r="E42" s="118" t="n">
        <x:v>1.05</x:v>
      </x:c>
      <x:c r="F42" s="118" t="n">
        <x:v>1.04</x:v>
      </x:c>
      <x:c r="G42" s="118" t="inlineStr">
        <x:is>
          <x:t xml:space="preserve">+6.0%</x:t>
        </x:is>
      </x:c>
    </x:row>
    <x:row r="43" s="160" customFormat="1" ht="13.050000190734863" customHeight="1">
      <x:c r="A43" s="119" t="n">
        <x:v>1.4</x:v>
      </x:c>
      <x:c r="B43" s="120" t="n">
        <x:v>1.11</x:v>
      </x:c>
      <x:c r="C43" s="120" t="n">
        <x:v>1.1</x:v>
      </x:c>
      <x:c r="D43" s="120" t="n">
        <x:v>1.08</x:v>
      </x:c>
      <x:c r="E43" s="120" t="n">
        <x:v>1.07</x:v>
      </x:c>
      <x:c r="F43" s="120" t="n">
        <x:v>1.05</x:v>
      </x:c>
      <x:c r="G43" s="120" t="inlineStr">
        <x:is>
          <x:t xml:space="preserve">+8.0%</x:t>
        </x:is>
      </x:c>
    </x:row>
    <x:row r="44" s="160" customFormat="1" ht="13.050000190734863" customHeight="1">
      <x:c r="A44" s="117" t="n">
        <x:v>1.5</x:v>
      </x:c>
      <x:c r="B44" s="118" t="n">
        <x:v>1.14</x:v>
      </x:c>
      <x:c r="C44" s="118" t="n">
        <x:v>1.12</x:v>
      </x:c>
      <x:c r="D44" s="118" t="n">
        <x:v>1.1</x:v>
      </x:c>
      <x:c r="E44" s="118" t="n">
        <x:v>1.08</x:v>
      </x:c>
      <x:c r="F44" s="118" t="n">
        <x:v>1.06</x:v>
      </x:c>
      <x:c r="G44" s="118" t="inlineStr">
        <x:is>
          <x:t xml:space="preserve">+10.0%</x:t>
        </x:is>
      </x:c>
    </x:row>
    <x:row r="45" s="160" customFormat="1" ht="13.050000190734863" customHeight="1">
      <x:c r="A45" s="119" t="n">
        <x:v>1.6</x:v>
      </x:c>
      <x:c r="B45" s="120" t="n">
        <x:v>1.16</x:v>
      </x:c>
      <x:c r="C45" s="120" t="n">
        <x:v>1.14</x:v>
      </x:c>
      <x:c r="D45" s="120" t="n">
        <x:v>1.12</x:v>
      </x:c>
      <x:c r="E45" s="120" t="n">
        <x:v>1.09</x:v>
      </x:c>
      <x:c r="F45" s="120" t="n">
        <x:v>1.07</x:v>
      </x:c>
      <x:c r="G45" s="120" t="inlineStr">
        <x:is>
          <x:t xml:space="preserve">+12.0%</x:t>
        </x:is>
      </x:c>
    </x:row>
    <x:row r="46" s="160" customFormat="1" ht="13.050000190734863" customHeight="1">
      <x:c r="A46" s="117" t="n">
        <x:v>1.7</x:v>
      </x:c>
      <x:c r="B46" s="118" t="n">
        <x:v>1.19</x:v>
      </x:c>
      <x:c r="C46" s="118" t="n">
        <x:v>1.16</x:v>
      </x:c>
      <x:c r="D46" s="118" t="n">
        <x:v>1.13</x:v>
      </x:c>
      <x:c r="E46" s="118" t="n">
        <x:v>1.11</x:v>
      </x:c>
      <x:c r="F46" s="118" t="n">
        <x:v>1.08</x:v>
      </x:c>
      <x:c r="G46" s="118" t="inlineStr">
        <x:is>
          <x:t xml:space="preserve">+13.0%</x:t>
        </x:is>
      </x:c>
    </x:row>
    <x:row r="47" s="160" customFormat="1" ht="13.050000190734863" customHeight="1">
      <x:c r="A47" s="119" t="n">
        <x:v>1.8</x:v>
      </x:c>
      <x:c r="B47" s="120" t="n">
        <x:v>1.21</x:v>
      </x:c>
      <x:c r="C47" s="120" t="n">
        <x:v>1.18</x:v>
      </x:c>
      <x:c r="D47" s="120" t="n">
        <x:v>1.15</x:v>
      </x:c>
      <x:c r="E47" s="120" t="n">
        <x:v>1.12</x:v>
      </x:c>
      <x:c r="F47" s="120" t="n">
        <x:v>1.09</x:v>
      </x:c>
      <x:c r="G47" s="120" t="inlineStr">
        <x:is>
          <x:t xml:space="preserve">+15.0%</x:t>
        </x:is>
      </x:c>
    </x:row>
    <x:row r="48" s="160" customFormat="1" ht="13.050000190734863" customHeight="1">
      <x:c r="A48" s="117" t="n">
        <x:v>1.9</x:v>
      </x:c>
      <x:c r="B48" s="118" t="n">
        <x:v>1.23</x:v>
      </x:c>
      <x:c r="C48" s="118" t="n">
        <x:v>1.19</x:v>
      </x:c>
      <x:c r="D48" s="118" t="n">
        <x:v>1.16</x:v>
      </x:c>
      <x:c r="E48" s="118" t="n">
        <x:v>1.13</x:v>
      </x:c>
      <x:c r="F48" s="118" t="n">
        <x:v>1.1</x:v>
      </x:c>
      <x:c r="G48" s="118" t="inlineStr">
        <x:is>
          <x:t xml:space="preserve">+16.0%</x:t>
        </x:is>
      </x:c>
    </x:row>
    <x:row r="49" s="160" customFormat="1" ht="13.050000190734863" customHeight="1">
      <x:c r="A49" s="119" t="n">
        <x:v>2</x:v>
      </x:c>
      <x:c r="B49" s="120" t="n">
        <x:v>1.25</x:v>
      </x:c>
      <x:c r="C49" s="120" t="n">
        <x:v>1.21</x:v>
      </x:c>
      <x:c r="D49" s="120" t="n">
        <x:v>1.18</x:v>
      </x:c>
      <x:c r="E49" s="120" t="n">
        <x:v>1.14</x:v>
      </x:c>
      <x:c r="F49" s="120" t="n">
        <x:v>1.11</x:v>
      </x:c>
      <x:c r="G49" s="120" t="inlineStr">
        <x:is>
          <x:t xml:space="preserve">+18.0%</x:t>
        </x:is>
      </x:c>
    </x:row>
    <x:row r="50" s="160" customFormat="1" ht="13.050000190734863" customHeight="1">
      <x:c r="A50" s="117" t="n">
        <x:v>2.1</x:v>
      </x:c>
      <x:c r="B50" s="118" t="n">
        <x:v>1.27</x:v>
      </x:c>
      <x:c r="C50" s="118" t="n">
        <x:v>1.23</x:v>
      </x:c>
      <x:c r="D50" s="118" t="n">
        <x:v>1.19</x:v>
      </x:c>
      <x:c r="E50" s="118" t="n">
        <x:v>1.15</x:v>
      </x:c>
      <x:c r="F50" s="118" t="n">
        <x:v>1.12</x:v>
      </x:c>
      <x:c r="G50" s="118" t="inlineStr">
        <x:is>
          <x:t xml:space="preserve">+19.0%</x:t>
        </x:is>
      </x:c>
    </x:row>
    <x:row r="51" s="160" customFormat="1" ht="13.050000190734863" customHeight="1">
      <x:c r="A51" s="119" t="n">
        <x:v>2.2</x:v>
      </x:c>
      <x:c r="B51" s="120" t="n">
        <x:v>1.29</x:v>
      </x:c>
      <x:c r="C51" s="120" t="n">
        <x:v>1.24</x:v>
      </x:c>
      <x:c r="D51" s="120" t="n">
        <x:v>1.2</x:v>
      </x:c>
      <x:c r="E51" s="120" t="n">
        <x:v>1.16</x:v>
      </x:c>
      <x:c r="F51" s="120" t="n">
        <x:v>1.13</x:v>
      </x:c>
      <x:c r="G51" s="120" t="inlineStr">
        <x:is>
          <x:t xml:space="preserve">+20.0%</x:t>
        </x:is>
      </x:c>
    </x:row>
    <x:row r="52" s="160" customFormat="1" ht="13.050000190734863" customHeight="1">
      <x:c r="A52" s="117" t="n">
        <x:v>2.3</x:v>
      </x:c>
      <x:c r="B52" s="118" t="n">
        <x:v>1.31</x:v>
      </x:c>
      <x:c r="C52" s="118" t="n">
        <x:v>1.26</x:v>
      </x:c>
      <x:c r="D52" s="118" t="n">
        <x:v>1.22</x:v>
      </x:c>
      <x:c r="E52" s="118" t="n">
        <x:v>1.17</x:v>
      </x:c>
      <x:c r="F52" s="118" t="n">
        <x:v>1.13</x:v>
      </x:c>
      <x:c r="G52" s="118" t="inlineStr">
        <x:is>
          <x:t xml:space="preserve">+22.0%</x:t>
        </x:is>
      </x:c>
    </x:row>
    <x:row r="53" s="160" customFormat="1" ht="13.050000190734863" customHeight="1">
      <x:c r="A53" s="119" t="n">
        <x:v>2.4</x:v>
      </x:c>
      <x:c r="B53" s="120" t="n">
        <x:v>1.33</x:v>
      </x:c>
      <x:c r="C53" s="120" t="n">
        <x:v>1.28</x:v>
      </x:c>
      <x:c r="D53" s="120" t="n">
        <x:v>1.23</x:v>
      </x:c>
      <x:c r="E53" s="120" t="n">
        <x:v>1.18</x:v>
      </x:c>
      <x:c r="F53" s="120" t="n">
        <x:v>1.14</x:v>
      </x:c>
      <x:c r="G53" s="120" t="inlineStr">
        <x:is>
          <x:t xml:space="preserve">+23.0%</x:t>
        </x:is>
      </x:c>
    </x:row>
    <x:row r="54" s="160" customFormat="1" ht="13.050000190734863" customHeight="1">
      <x:c r="A54" s="117" t="n">
        <x:v>2.5</x:v>
      </x:c>
      <x:c r="B54" s="118" t="n">
        <x:v>1.34</x:v>
      </x:c>
      <x:c r="C54" s="118" t="n">
        <x:v>1.29</x:v>
      </x:c>
      <x:c r="D54" s="118" t="n">
        <x:v>1.24</x:v>
      </x:c>
      <x:c r="E54" s="118" t="n">
        <x:v>1.19</x:v>
      </x:c>
      <x:c r="F54" s="118" t="n">
        <x:v>1.15</x:v>
      </x:c>
      <x:c r="G54" s="118" t="inlineStr">
        <x:is>
          <x:t xml:space="preserve">+24.0%</x:t>
        </x:is>
      </x:c>
    </x:row>
    <x:row r="55" s="160" customFormat="1" ht="13.050000190734863" customHeight="1">
      <x:c r="A55" s="119" t="n">
        <x:v>2.6</x:v>
      </x:c>
      <x:c r="B55" s="120" t="n">
        <x:v>1.36</x:v>
      </x:c>
      <x:c r="C55" s="120" t="n">
        <x:v>1.3</x:v>
      </x:c>
      <x:c r="D55" s="120" t="n">
        <x:v>1.25</x:v>
      </x:c>
      <x:c r="E55" s="120" t="n">
        <x:v>1.2</x:v>
      </x:c>
      <x:c r="F55" s="120" t="n">
        <x:v>1.16</x:v>
      </x:c>
      <x:c r="G55" s="120" t="inlineStr">
        <x:is>
          <x:t xml:space="preserve">+25.0%</x:t>
        </x:is>
      </x:c>
    </x:row>
    <x:row r="56" s="160" customFormat="1" ht="13.050000190734863" customHeight="1">
      <x:c r="A56" s="117" t="n">
        <x:v>2.7</x:v>
      </x:c>
      <x:c r="B56" s="118" t="n">
        <x:v>1.38</x:v>
      </x:c>
      <x:c r="C56" s="118" t="n">
        <x:v>1.32</x:v>
      </x:c>
      <x:c r="D56" s="118" t="n">
        <x:v>1.26</x:v>
      </x:c>
      <x:c r="E56" s="118" t="n">
        <x:v>1.21</x:v>
      </x:c>
      <x:c r="F56" s="118" t="n">
        <x:v>1.16</x:v>
      </x:c>
      <x:c r="G56" s="118" t="inlineStr">
        <x:is>
          <x:t xml:space="preserve">+26.0%</x:t>
        </x:is>
      </x:c>
    </x:row>
    <x:row r="57" s="160" customFormat="1" ht="13.050000190734863" customHeight="1">
      <x:c r="A57" s="119" t="n">
        <x:v>2.8</x:v>
      </x:c>
      <x:c r="B57" s="120" t="n">
        <x:v>1.39</x:v>
      </x:c>
      <x:c r="C57" s="120" t="n">
        <x:v>1.33</x:v>
      </x:c>
      <x:c r="D57" s="120" t="n">
        <x:v>1.27</x:v>
      </x:c>
      <x:c r="E57" s="120" t="n">
        <x:v>1.22</x:v>
      </x:c>
      <x:c r="F57" s="120" t="n">
        <x:v>1.17</x:v>
      </x:c>
      <x:c r="G57" s="120" t="inlineStr">
        <x:is>
          <x:t xml:space="preserve">+27.0%</x:t>
        </x:is>
      </x:c>
    </x:row>
    <x:row r="58" s="160" customFormat="1" ht="13.050000190734863" customHeight="1">
      <x:c r="A58" s="117" t="n">
        <x:v>2.9</x:v>
      </x:c>
      <x:c r="B58" s="118" t="n">
        <x:v>1.41</x:v>
      </x:c>
      <x:c r="C58" s="118" t="n">
        <x:v>1.34</x:v>
      </x:c>
      <x:c r="D58" s="118" t="n">
        <x:v>1.28</x:v>
      </x:c>
      <x:c r="E58" s="118" t="n">
        <x:v>1.23</x:v>
      </x:c>
      <x:c r="F58" s="118" t="n">
        <x:v>1.18</x:v>
      </x:c>
      <x:c r="G58" s="118" t="inlineStr">
        <x:is>
          <x:t xml:space="preserve">+28.0%</x:t>
        </x:is>
      </x:c>
    </x:row>
    <x:row r="59" s="160" customFormat="1" ht="13.050000190734863" customHeight="1">
      <x:c r="A59" s="119" t="n">
        <x:v>3</x:v>
      </x:c>
      <x:c r="B59" s="120" t="n">
        <x:v>1.42</x:v>
      </x:c>
      <x:c r="C59" s="120" t="n">
        <x:v>1.36</x:v>
      </x:c>
      <x:c r="D59" s="120" t="n">
        <x:v>1.29</x:v>
      </x:c>
      <x:c r="E59" s="120" t="n">
        <x:v>1.24</x:v>
      </x:c>
      <x:c r="F59" s="120" t="n">
        <x:v>1.18</x:v>
      </x:c>
      <x:c r="G59" s="120" t="inlineStr">
        <x:is>
          <x:t xml:space="preserve">+29.0%</x:t>
        </x:is>
      </x:c>
    </x:row>
    <x:row r="60" s="160" customFormat="1" ht="13.050000190734863" customHeight="1">
      <x:c r="A60" s="117" t="n">
        <x:v>3.1</x:v>
      </x:c>
      <x:c r="B60" s="118" t="n">
        <x:v>1.44</x:v>
      </x:c>
      <x:c r="C60" s="118" t="n">
        <x:v>1.37</x:v>
      </x:c>
      <x:c r="D60" s="118" t="n">
        <x:v>1.3</x:v>
      </x:c>
      <x:c r="E60" s="118" t="n">
        <x:v>1.24</x:v>
      </x:c>
      <x:c r="F60" s="118" t="n">
        <x:v>1.19</x:v>
      </x:c>
      <x:c r="G60" s="118" t="inlineStr">
        <x:is>
          <x:t xml:space="preserve">+30.0%</x:t>
        </x:is>
      </x:c>
    </x:row>
    <x:row r="61" s="160" customFormat="1" ht="13.050000190734863" customHeight="1">
      <x:c r="A61" s="119" t="n">
        <x:v>3.2</x:v>
      </x:c>
      <x:c r="B61" s="120" t="n">
        <x:v>1.45</x:v>
      </x:c>
      <x:c r="C61" s="120" t="n">
        <x:v>1.38</x:v>
      </x:c>
      <x:c r="D61" s="120" t="n">
        <x:v>1.31</x:v>
      </x:c>
      <x:c r="E61" s="120" t="n">
        <x:v>1.25</x:v>
      </x:c>
      <x:c r="F61" s="120" t="n">
        <x:v>1.19</x:v>
      </x:c>
      <x:c r="G61" s="120" t="inlineStr">
        <x:is>
          <x:t xml:space="preserve">+31.0%</x:t>
        </x:is>
      </x:c>
    </x:row>
    <x:row r="62" s="160" customFormat="1" ht="13.050000190734863" customHeight="1">
      <x:c r="A62" s="117" t="n">
        <x:v>3.3</x:v>
      </x:c>
      <x:c r="B62" s="118" t="n">
        <x:v>1.47</x:v>
      </x:c>
      <x:c r="C62" s="118" t="n">
        <x:v>1.39</x:v>
      </x:c>
      <x:c r="D62" s="118" t="n">
        <x:v>1.32</x:v>
      </x:c>
      <x:c r="E62" s="118" t="n">
        <x:v>1.26</x:v>
      </x:c>
      <x:c r="F62" s="118" t="n">
        <x:v>1.2</x:v>
      </x:c>
      <x:c r="G62" s="118" t="inlineStr">
        <x:is>
          <x:t xml:space="preserve">+32.0%</x:t>
        </x:is>
      </x:c>
    </x:row>
    <x:row r="63" s="160" customFormat="1" ht="13.050000190734863" customHeight="1">
      <x:c r="A63" s="119" t="n">
        <x:v>3.4</x:v>
      </x:c>
      <x:c r="B63" s="120" t="n">
        <x:v>1.48</x:v>
      </x:c>
      <x:c r="C63" s="120" t="n">
        <x:v>1.4</x:v>
      </x:c>
      <x:c r="D63" s="120" t="n">
        <x:v>1.33</x:v>
      </x:c>
      <x:c r="E63" s="120" t="n">
        <x:v>1.27</x:v>
      </x:c>
      <x:c r="F63" s="120" t="n">
        <x:v>1.2</x:v>
      </x:c>
      <x:c r="G63" s="120" t="inlineStr">
        <x:is>
          <x:t xml:space="preserve">+33.0%</x:t>
        </x:is>
      </x:c>
    </x:row>
    <x:row r="64" s="160" customFormat="1" ht="13.050000190734863" customHeight="1">
      <x:c r="A64" s="117" t="n">
        <x:v>3.5</x:v>
      </x:c>
      <x:c r="B64" s="118" t="n">
        <x:v>1.5</x:v>
      </x:c>
      <x:c r="C64" s="118" t="n">
        <x:v>1.42</x:v>
      </x:c>
      <x:c r="D64" s="118" t="n">
        <x:v>1.34</x:v>
      </x:c>
      <x:c r="E64" s="118" t="n">
        <x:v>1.27</x:v>
      </x:c>
      <x:c r="F64" s="118" t="n">
        <x:v>1.21</x:v>
      </x:c>
      <x:c r="G64" s="118" t="inlineStr">
        <x:is>
          <x:t xml:space="preserve">+34.0%</x:t>
        </x:is>
      </x:c>
    </x:row>
    <x:row r="65" s="160" customFormat="1" ht="13.050000190734863" customHeight="1">
      <x:c r="A65" s="119" t="n">
        <x:v>3.6</x:v>
      </x:c>
      <x:c r="B65" s="120" t="n">
        <x:v>1.51</x:v>
      </x:c>
      <x:c r="C65" s="120" t="n">
        <x:v>1.43</x:v>
      </x:c>
      <x:c r="D65" s="120" t="n">
        <x:v>1.35</x:v>
      </x:c>
      <x:c r="E65" s="120" t="n">
        <x:v>1.28</x:v>
      </x:c>
      <x:c r="F65" s="120" t="n">
        <x:v>1.21</x:v>
      </x:c>
      <x:c r="G65" s="120" t="inlineStr">
        <x:is>
          <x:t xml:space="preserve">+35.0%</x:t>
        </x:is>
      </x:c>
    </x:row>
    <x:row r="66" s="160" customFormat="1" ht="13.050000190734863" customHeight="1">
      <x:c r="A66" s="117" t="n">
        <x:v>3.7</x:v>
      </x:c>
      <x:c r="B66" s="118" t="n">
        <x:v>1.52</x:v>
      </x:c>
      <x:c r="C66" s="118" t="n">
        <x:v>1.44</x:v>
      </x:c>
      <x:c r="D66" s="118" t="n">
        <x:v>1.36</x:v>
      </x:c>
      <x:c r="E66" s="118" t="n">
        <x:v>1.29</x:v>
      </x:c>
      <x:c r="F66" s="118" t="n">
        <x:v>1.22</x:v>
      </x:c>
      <x:c r="G66" s="118" t="inlineStr">
        <x:is>
          <x:t xml:space="preserve">+36.0%</x:t>
        </x:is>
      </x:c>
    </x:row>
    <x:row r="67" s="160" customFormat="1" ht="13.050000190734863" customHeight="1">
      <x:c r="A67" s="119" t="n">
        <x:v>3.8</x:v>
      </x:c>
      <x:c r="B67" s="120" t="n">
        <x:v>1.54</x:v>
      </x:c>
      <x:c r="C67" s="120" t="n">
        <x:v>1.45</x:v>
      </x:c>
      <x:c r="D67" s="120" t="n">
        <x:v>1.37</x:v>
      </x:c>
      <x:c r="E67" s="120" t="n">
        <x:v>1.29</x:v>
      </x:c>
      <x:c r="F67" s="120" t="n">
        <x:v>1.22</x:v>
      </x:c>
      <x:c r="G67" s="120" t="inlineStr">
        <x:is>
          <x:t xml:space="preserve">+37.0%</x:t>
        </x:is>
      </x:c>
    </x:row>
    <x:row r="68" s="160" customFormat="1" ht="13.050000190734863" customHeight="1">
      <x:c r="A68" s="117" t="n">
        <x:v>3.9</x:v>
      </x:c>
      <x:c r="B68" s="118" t="n">
        <x:v>1.55</x:v>
      </x:c>
      <x:c r="C68" s="118" t="n">
        <x:v>1.46</x:v>
      </x:c>
      <x:c r="D68" s="118" t="n">
        <x:v>1.38</x:v>
      </x:c>
      <x:c r="E68" s="118" t="n">
        <x:v>1.3</x:v>
      </x:c>
      <x:c r="F68" s="118" t="n">
        <x:v>1.23</x:v>
      </x:c>
      <x:c r="G68" s="118" t="inlineStr">
        <x:is>
          <x:t xml:space="preserve">+38.0%</x:t>
        </x:is>
      </x:c>
    </x:row>
    <x:row r="69" s="160" customFormat="1" ht="13.050000190734863" customHeight="1">
      <x:c r="A69" s="119" t="n">
        <x:v>4</x:v>
      </x:c>
      <x:c r="B69" s="120" t="n">
        <x:v>1.56</x:v>
      </x:c>
      <x:c r="C69" s="120" t="n">
        <x:v>1.47</x:v>
      </x:c>
      <x:c r="D69" s="120" t="n">
        <x:v>1.39</x:v>
      </x:c>
      <x:c r="E69" s="120" t="n">
        <x:v>1.31</x:v>
      </x:c>
      <x:c r="F69" s="120" t="n">
        <x:v>1.23</x:v>
      </x:c>
      <x:c r="G69" s="120" t="inlineStr">
        <x:is>
          <x:t xml:space="preserve">+39.0%</x:t>
        </x:is>
      </x:c>
    </x:row>
    <x:row r="70" s="160" customFormat="1" ht="13.050000190734863" customHeight="1">
      <x:c r="A70" s="117" t="n">
        <x:v>4.1</x:v>
      </x:c>
      <x:c r="B70" s="118" t="n">
        <x:v>1.58</x:v>
      </x:c>
      <x:c r="C70" s="118" t="n">
        <x:v>1.48</x:v>
      </x:c>
      <x:c r="D70" s="118" t="n">
        <x:v>1.39</x:v>
      </x:c>
      <x:c r="E70" s="118" t="n">
        <x:v>1.31</x:v>
      </x:c>
      <x:c r="F70" s="118" t="n">
        <x:v>1.24</x:v>
      </x:c>
      <x:c r="G70" s="118" t="inlineStr">
        <x:is>
          <x:t xml:space="preserve">+39.0%</x:t>
        </x:is>
      </x:c>
    </x:row>
    <x:row r="71" s="160" customFormat="1" ht="13.050000190734863" customHeight="1">
      <x:c r="A71" s="119" t="n">
        <x:v>4.2</x:v>
      </x:c>
      <x:c r="B71" s="120" t="n">
        <x:v>1.59</x:v>
      </x:c>
      <x:c r="C71" s="120" t="n">
        <x:v>1.49</x:v>
      </x:c>
      <x:c r="D71" s="120" t="n">
        <x:v>1.4</x:v>
      </x:c>
      <x:c r="E71" s="120" t="n">
        <x:v>1.32</x:v>
      </x:c>
      <x:c r="F71" s="120" t="n">
        <x:v>1.24</x:v>
      </x:c>
      <x:c r="G71" s="120" t="inlineStr">
        <x:is>
          <x:t xml:space="preserve">+40.0%</x:t>
        </x:is>
      </x:c>
    </x:row>
    <x:row r="72" s="160" customFormat="1" ht="13.050000190734863" customHeight="1">
      <x:c r="A72" s="117" t="n">
        <x:v>4.3</x:v>
      </x:c>
      <x:c r="B72" s="118" t="n">
        <x:v>1.6</x:v>
      </x:c>
      <x:c r="C72" s="118" t="n">
        <x:v>1.5</x:v>
      </x:c>
      <x:c r="D72" s="118" t="n">
        <x:v>1.41</x:v>
      </x:c>
      <x:c r="E72" s="118" t="n">
        <x:v>1.32</x:v>
      </x:c>
      <x:c r="F72" s="118" t="n">
        <x:v>1.25</x:v>
      </x:c>
      <x:c r="G72" s="118" t="inlineStr">
        <x:is>
          <x:t xml:space="preserve">+41.0%</x:t>
        </x:is>
      </x:c>
    </x:row>
    <x:row r="73" s="160" customFormat="1" ht="13.050000190734863" customHeight="1">
      <x:c r="A73" s="119" t="n">
        <x:v>4.4</x:v>
      </x:c>
      <x:c r="B73" s="120" t="n">
        <x:v>1.61</x:v>
      </x:c>
      <x:c r="C73" s="120" t="n">
        <x:v>1.51</x:v>
      </x:c>
      <x:c r="D73" s="120" t="n">
        <x:v>1.42</x:v>
      </x:c>
      <x:c r="E73" s="120" t="n">
        <x:v>1.33</x:v>
      </x:c>
      <x:c r="F73" s="120" t="n">
        <x:v>1.25</x:v>
      </x:c>
      <x:c r="G73" s="120" t="inlineStr">
        <x:is>
          <x:t xml:space="preserve">+42.0%</x:t>
        </x:is>
      </x:c>
    </x:row>
    <x:row r="74" s="160" customFormat="1" ht="13.050000190734863" customHeight="1">
      <x:c r="A74" s="117" t="n">
        <x:v>4.5</x:v>
      </x:c>
      <x:c r="B74" s="118" t="n">
        <x:v>1.62</x:v>
      </x:c>
      <x:c r="C74" s="118" t="n">
        <x:v>1.52</x:v>
      </x:c>
      <x:c r="D74" s="118" t="n">
        <x:v>1.42</x:v>
      </x:c>
      <x:c r="E74" s="118" t="n">
        <x:v>1.34</x:v>
      </x:c>
      <x:c r="F74" s="118" t="n">
        <x:v>1.26</x:v>
      </x:c>
      <x:c r="G74" s="118" t="inlineStr">
        <x:is>
          <x:t xml:space="preserve">+42.0%</x:t>
        </x:is>
      </x:c>
    </x:row>
    <x:row r="75" s="160" customFormat="1" ht="13.050000190734863" customHeight="1">
      <x:c r="A75" s="119" t="n">
        <x:v>4.6</x:v>
      </x:c>
      <x:c r="B75" s="120" t="n">
        <x:v>1.63</x:v>
      </x:c>
      <x:c r="C75" s="120" t="n">
        <x:v>1.53</x:v>
      </x:c>
      <x:c r="D75" s="120" t="n">
        <x:v>1.43</x:v>
      </x:c>
      <x:c r="E75" s="120" t="n">
        <x:v>1.34</x:v>
      </x:c>
      <x:c r="F75" s="120" t="n">
        <x:v>1.26</x:v>
      </x:c>
      <x:c r="G75" s="120" t="inlineStr">
        <x:is>
          <x:t xml:space="preserve">+43.0%</x:t>
        </x:is>
      </x:c>
    </x:row>
    <x:row r="76" s="160" customFormat="1" ht="13.050000190734863" customHeight="1">
      <x:c r="A76" s="117" t="n">
        <x:v>4.7</x:v>
      </x:c>
      <x:c r="B76" s="118" t="n">
        <x:v>1.65</x:v>
      </x:c>
      <x:c r="C76" s="118" t="n">
        <x:v>1.54</x:v>
      </x:c>
      <x:c r="D76" s="118" t="n">
        <x:v>1.44</x:v>
      </x:c>
      <x:c r="E76" s="118" t="n">
        <x:v>1.35</x:v>
      </x:c>
      <x:c r="F76" s="118" t="n">
        <x:v>1.27</x:v>
      </x:c>
      <x:c r="G76" s="118" t="inlineStr">
        <x:is>
          <x:t xml:space="preserve">+44.0%</x:t>
        </x:is>
      </x:c>
    </x:row>
    <x:row r="77" s="160" customFormat="1" ht="13.050000190734863" customHeight="1">
      <x:c r="A77" s="119" t="n">
        <x:v>4.8</x:v>
      </x:c>
      <x:c r="B77" s="120" t="n">
        <x:v>1.66</x:v>
      </x:c>
      <x:c r="C77" s="120" t="n">
        <x:v>1.55</x:v>
      </x:c>
      <x:c r="D77" s="120" t="n">
        <x:v>1.45</x:v>
      </x:c>
      <x:c r="E77" s="120" t="n">
        <x:v>1.35</x:v>
      </x:c>
      <x:c r="F77" s="120" t="n">
        <x:v>1.27</x:v>
      </x:c>
      <x:c r="G77" s="120" t="inlineStr">
        <x:is>
          <x:t xml:space="preserve">+45.0%</x:t>
        </x:is>
      </x:c>
    </x:row>
    <x:row r="78" s="160" customFormat="1" ht="13.050000190734863" customHeight="1">
      <x:c r="A78" s="117" t="n">
        <x:v>4.9</x:v>
      </x:c>
      <x:c r="B78" s="118" t="n">
        <x:v>1.67</x:v>
      </x:c>
      <x:c r="C78" s="118" t="n">
        <x:v>1.55</x:v>
      </x:c>
      <x:c r="D78" s="118" t="n">
        <x:v>1.45</x:v>
      </x:c>
      <x:c r="E78" s="118" t="n">
        <x:v>1.36</x:v>
      </x:c>
      <x:c r="F78" s="118" t="n">
        <x:v>1.27</x:v>
      </x:c>
      <x:c r="G78" s="118" t="inlineStr">
        <x:is>
          <x:t xml:space="preserve">+45.0%</x:t>
        </x:is>
      </x:c>
    </x:row>
    <x:row r="79" s="160" customFormat="1" ht="13.050000190734863" customHeight="1">
      <x:c r="A79" s="119" t="n">
        <x:v>5</x:v>
      </x:c>
      <x:c r="B79" s="120" t="n">
        <x:v>1.68</x:v>
      </x:c>
      <x:c r="C79" s="120" t="n">
        <x:v>1.56</x:v>
      </x:c>
      <x:c r="D79" s="120" t="n">
        <x:v>1.46</x:v>
      </x:c>
      <x:c r="E79" s="120" t="n">
        <x:v>1.36</x:v>
      </x:c>
      <x:c r="F79" s="120" t="n">
        <x:v>1.28</x:v>
      </x:c>
      <x:c r="G79" s="120" t="inlineStr">
        <x:is>
          <x:t xml:space="preserve">+46.0%</x:t>
        </x:is>
      </x:c>
    </x:row>
    <x:row r="80" s="160" customFormat="1" ht="13.050000190734863" customHeight="1">
      <x:c r="A80" s="117" t="n">
        <x:v>5.5</x:v>
      </x:c>
      <x:c r="B80" s="118" t="n">
        <x:v>1.73</x:v>
      </x:c>
      <x:c r="C80" s="118" t="n">
        <x:v>1.61</x:v>
      </x:c>
      <x:c r="D80" s="118" t="n">
        <x:v>1.49</x:v>
      </x:c>
      <x:c r="E80" s="118" t="n">
        <x:v>1.39</x:v>
      </x:c>
      <x:c r="F80" s="118" t="n">
        <x:v>1.3</x:v>
      </x:c>
      <x:c r="G80" s="118" t="inlineStr">
        <x:is>
          <x:t xml:space="preserve">+49.0%</x:t>
        </x:is>
      </x:c>
    </x:row>
    <x:row r="81" s="160" customFormat="1" ht="13.050000190734863" customHeight="1">
      <x:c r="A81" s="119" t="n">
        <x:v>6</x:v>
      </x:c>
      <x:c r="B81" s="120" t="n">
        <x:v>1.78</x:v>
      </x:c>
      <x:c r="C81" s="120" t="n">
        <x:v>1.64</x:v>
      </x:c>
      <x:c r="D81" s="120" t="n">
        <x:v>1.52</x:v>
      </x:c>
      <x:c r="E81" s="120" t="n">
        <x:v>1.41</x:v>
      </x:c>
      <x:c r="F81" s="120" t="n">
        <x:v>1.31</x:v>
      </x:c>
      <x:c r="G81" s="120" t="inlineStr">
        <x:is>
          <x:t xml:space="preserve">+52.0%</x:t>
        </x:is>
      </x:c>
    </x:row>
    <x:row r="82" s="160" customFormat="1" ht="13.050000190734863" customHeight="1">
      <x:c r="A82" s="117" t="n">
        <x:v>6.5</x:v>
      </x:c>
      <x:c r="B82" s="118" t="n">
        <x:v>1.83</x:v>
      </x:c>
      <x:c r="C82" s="118" t="n">
        <x:v>1.68</x:v>
      </x:c>
      <x:c r="D82" s="118" t="n">
        <x:v>1.55</x:v>
      </x:c>
      <x:c r="E82" s="118" t="n">
        <x:v>1.43</x:v>
      </x:c>
      <x:c r="F82" s="118" t="n">
        <x:v>1.33</x:v>
      </x:c>
      <x:c r="G82" s="118" t="inlineStr">
        <x:is>
          <x:t xml:space="preserve">+55.0%</x:t>
        </x:is>
      </x:c>
    </x:row>
    <x:row r="83" s="160" customFormat="1" ht="13.050000190734863" customHeight="1">
      <x:c r="A83" s="119" t="n">
        <x:v>7</x:v>
      </x:c>
      <x:c r="B83" s="120" t="n">
        <x:v>1.87</x:v>
      </x:c>
      <x:c r="C83" s="120" t="n">
        <x:v>1.72</x:v>
      </x:c>
      <x:c r="D83" s="120" t="n">
        <x:v>1.58</x:v>
      </x:c>
      <x:c r="E83" s="120" t="n">
        <x:v>1.45</x:v>
      </x:c>
      <x:c r="F83" s="120" t="n">
        <x:v>1.34</x:v>
      </x:c>
      <x:c r="G83" s="120" t="inlineStr">
        <x:is>
          <x:t xml:space="preserve">+58.0%</x:t>
        </x:is>
      </x:c>
    </x:row>
    <x:row r="84" s="160" customFormat="1" ht="13.050000190734863" customHeight="1">
      <x:c r="A84" s="117" t="n">
        <x:v>7.5</x:v>
      </x:c>
      <x:c r="B84" s="118" t="n">
        <x:v>1.91</x:v>
      </x:c>
      <x:c r="C84" s="118" t="n">
        <x:v>1.75</x:v>
      </x:c>
      <x:c r="D84" s="118" t="n">
        <x:v>1.61</x:v>
      </x:c>
      <x:c r="E84" s="118" t="n">
        <x:v>1.47</x:v>
      </x:c>
      <x:c r="F84" s="118" t="n">
        <x:v>1.36</x:v>
      </x:c>
      <x:c r="G84" s="118" t="inlineStr">
        <x:is>
          <x:t xml:space="preserve">+61.0%</x:t>
        </x:is>
      </x:c>
    </x:row>
    <x:row r="85" s="160" customFormat="1" ht="13.050000190734863" customHeight="1">
      <x:c r="A85" s="119" t="n">
        <x:v>8</x:v>
      </x:c>
      <x:c r="B85" s="120" t="n">
        <x:v>1.95</x:v>
      </x:c>
      <x:c r="C85" s="120" t="n">
        <x:v>1.78</x:v>
      </x:c>
      <x:c r="D85" s="120" t="n">
        <x:v>1.63</x:v>
      </x:c>
      <x:c r="E85" s="120" t="n">
        <x:v>1.49</x:v>
      </x:c>
      <x:c r="F85" s="120" t="n">
        <x:v>1.37</x:v>
      </x:c>
      <x:c r="G85" s="120" t="inlineStr">
        <x:is>
          <x:t xml:space="preserve">+63.0%</x:t>
        </x:is>
      </x:c>
    </x:row>
    <x:row r="86" s="160" customFormat="1" ht="13.050000190734863" customHeight="1">
      <x:c r="A86" s="117" t="n">
        <x:v>8.5</x:v>
      </x:c>
      <x:c r="B86" s="118" t="n">
        <x:v>1.99</x:v>
      </x:c>
      <x:c r="C86" s="118" t="n">
        <x:v>1.81</x:v>
      </x:c>
      <x:c r="D86" s="118" t="n">
        <x:v>1.65</x:v>
      </x:c>
      <x:c r="E86" s="118" t="n">
        <x:v>1.51</x:v>
      </x:c>
      <x:c r="F86" s="118" t="n">
        <x:v>1.38</x:v>
      </x:c>
      <x:c r="G86" s="118" t="inlineStr">
        <x:is>
          <x:t xml:space="preserve">+65.0%</x:t>
        </x:is>
      </x:c>
    </x:row>
    <x:row r="87" s="160" customFormat="1" ht="13.050000190734863" customHeight="1">
      <x:c r="A87" s="119" t="n">
        <x:v>9</x:v>
      </x:c>
      <x:c r="B87" s="120" t="n">
        <x:v>2.03</x:v>
      </x:c>
      <x:c r="C87" s="120" t="n">
        <x:v>1.84</x:v>
      </x:c>
      <x:c r="D87" s="120" t="n">
        <x:v>1.68</x:v>
      </x:c>
      <x:c r="E87" s="120" t="n">
        <x:v>1.53</x:v>
      </x:c>
      <x:c r="F87" s="120" t="n">
        <x:v>1.4</x:v>
      </x:c>
      <x:c r="G87" s="120" t="inlineStr">
        <x:is>
          <x:t xml:space="preserve">+68.0%</x:t>
        </x:is>
      </x:c>
    </x:row>
    <x:row r="88" s="160" customFormat="1" ht="13.050000190734863" customHeight="1">
      <x:c r="A88" s="117" t="n">
        <x:v>9.5</x:v>
      </x:c>
      <x:c r="B88" s="118" t="n">
        <x:v>2.06</x:v>
      </x:c>
      <x:c r="C88" s="118" t="n">
        <x:v>1.87</x:v>
      </x:c>
      <x:c r="D88" s="118" t="n">
        <x:v>1.7</x:v>
      </x:c>
      <x:c r="E88" s="118" t="n">
        <x:v>1.54</x:v>
      </x:c>
      <x:c r="F88" s="118" t="n">
        <x:v>1.41</x:v>
      </x:c>
      <x:c r="G88" s="118" t="inlineStr">
        <x:is>
          <x:t xml:space="preserve">+70.0%</x:t>
        </x:is>
      </x:c>
    </x:row>
    <x:row r="89" s="160" customFormat="1" ht="13.050000190734863" customHeight="1">
      <x:c r="A89" s="119" t="n">
        <x:v>10</x:v>
      </x:c>
      <x:c r="B89" s="120" t="n">
        <x:v>2.1</x:v>
      </x:c>
      <x:c r="C89" s="120" t="n">
        <x:v>1.89</x:v>
      </x:c>
      <x:c r="D89" s="120" t="n">
        <x:v>1.72</x:v>
      </x:c>
      <x:c r="E89" s="120" t="n">
        <x:v>1.56</x:v>
      </x:c>
      <x:c r="F89" s="120" t="n">
        <x:v>1.42</x:v>
      </x:c>
      <x:c r="G89" s="120" t="inlineStr">
        <x:is>
          <x:t xml:space="preserve">+72.0%</x:t>
        </x:is>
      </x:c>
    </x:row>
    <x:row r="90" s="160" customFormat="1" ht="13.050000190734863" customHeight="1">
      <x:c r="A90" s="117" t="n">
        <x:v>11</x:v>
      </x:c>
      <x:c r="B90" s="118" t="n">
        <x:v>2.16</x:v>
      </x:c>
      <x:c r="C90" s="118" t="n">
        <x:v>1.95</x:v>
      </x:c>
      <x:c r="D90" s="118" t="n">
        <x:v>1.76</x:v>
      </x:c>
      <x:c r="E90" s="118" t="n">
        <x:v>1.59</x:v>
      </x:c>
      <x:c r="F90" s="118" t="n">
        <x:v>1.44</x:v>
      </x:c>
      <x:c r="G90" s="118" t="inlineStr">
        <x:is>
          <x:t xml:space="preserve">+76.0%</x:t>
        </x:is>
      </x:c>
    </x:row>
    <x:row r="91" s="160" customFormat="1" ht="13.050000190734863" customHeight="1">
      <x:c r="A91" s="119" t="n">
        <x:v>12</x:v>
      </x:c>
      <x:c r="B91" s="120" t="n">
        <x:v>2.23</x:v>
      </x:c>
      <x:c r="C91" s="120" t="n">
        <x:v>1.99</x:v>
      </x:c>
      <x:c r="D91" s="120" t="n">
        <x:v>1.79</x:v>
      </x:c>
      <x:c r="E91" s="120" t="n">
        <x:v>1.61</x:v>
      </x:c>
      <x:c r="F91" s="120" t="n">
        <x:v>1.46</x:v>
      </x:c>
      <x:c r="G91" s="120" t="inlineStr">
        <x:is>
          <x:t xml:space="preserve">+79.0%</x:t>
        </x:is>
      </x:c>
    </x:row>
    <x:row r="92" s="160" customFormat="1" ht="13.050000190734863" customHeight="1">
      <x:c r="A92" s="117" t="n">
        <x:v>13</x:v>
      </x:c>
      <x:c r="B92" s="118" t="n">
        <x:v>2.28</x:v>
      </x:c>
      <x:c r="C92" s="118" t="n">
        <x:v>2.04</x:v>
      </x:c>
      <x:c r="D92" s="118" t="n">
        <x:v>1.83</x:v>
      </x:c>
      <x:c r="E92" s="118" t="n">
        <x:v>1.64</x:v>
      </x:c>
      <x:c r="F92" s="118" t="n">
        <x:v>1.48</x:v>
      </x:c>
      <x:c r="G92" s="118" t="inlineStr">
        <x:is>
          <x:t xml:space="preserve">+83.0%</x:t>
        </x:is>
      </x:c>
    </x:row>
    <x:row r="93" s="160" customFormat="1" ht="13.050000190734863" customHeight="1">
      <x:c r="A93" s="119" t="n">
        <x:v>14</x:v>
      </x:c>
      <x:c r="B93" s="120" t="n">
        <x:v>2.34</x:v>
      </x:c>
      <x:c r="C93" s="120" t="n">
        <x:v>2.08</x:v>
      </x:c>
      <x:c r="D93" s="120" t="n">
        <x:v>1.86</x:v>
      </x:c>
      <x:c r="E93" s="120" t="n">
        <x:v>1.66</x:v>
      </x:c>
      <x:c r="F93" s="120" t="n">
        <x:v>1.49</x:v>
      </x:c>
      <x:c r="G93" s="120" t="inlineStr">
        <x:is>
          <x:t xml:space="preserve">+86.0%</x:t>
        </x:is>
      </x:c>
    </x:row>
    <x:row r="94" s="160" customFormat="1" ht="13.050000190734863" customHeight="1">
      <x:c r="A94" s="117" t="n">
        <x:v>15</x:v>
      </x:c>
      <x:c r="B94" s="118" t="n">
        <x:v>2.39</x:v>
      </x:c>
      <x:c r="C94" s="118" t="n">
        <x:v>2.12</x:v>
      </x:c>
      <x:c r="D94" s="118" t="n">
        <x:v>1.89</x:v>
      </x:c>
      <x:c r="E94" s="118" t="n">
        <x:v>1.68</x:v>
      </x:c>
      <x:c r="F94" s="118" t="n">
        <x:v>1.51</x:v>
      </x:c>
      <x:c r="G94" s="118" t="inlineStr">
        <x:is>
          <x:t xml:space="preserve">+89.0%</x:t>
        </x:is>
      </x:c>
    </x:row>
    <x:row r="95" s="160" customFormat="1" ht="13.050000190734863" customHeight="1">
      <x:c r="A95" s="119" t="n">
        <x:v>16</x:v>
      </x:c>
      <x:c r="B95" s="120" t="n">
        <x:v>2.44</x:v>
      </x:c>
      <x:c r="C95" s="120" t="n">
        <x:v>2.16</x:v>
      </x:c>
      <x:c r="D95" s="120" t="n">
        <x:v>1.92</x:v>
      </x:c>
      <x:c r="E95" s="120" t="n">
        <x:v>1.71</x:v>
      </x:c>
      <x:c r="F95" s="120" t="n">
        <x:v>1.52</x:v>
      </x:c>
      <x:c r="G95" s="120" t="inlineStr">
        <x:is>
          <x:t xml:space="preserve">+92.0%</x:t>
        </x:is>
      </x:c>
    </x:row>
    <x:row r="96" s="160" customFormat="1" ht="13.050000190734863" customHeight="1">
      <x:c r="A96" s="117" t="n">
        <x:v>17</x:v>
      </x:c>
      <x:c r="B96" s="118" t="n">
        <x:v>2.49</x:v>
      </x:c>
      <x:c r="C96" s="118" t="n">
        <x:v>2.2</x:v>
      </x:c>
      <x:c r="D96" s="118" t="n">
        <x:v>1.95</x:v>
      </x:c>
      <x:c r="E96" s="118" t="n">
        <x:v>1.73</x:v>
      </x:c>
      <x:c r="F96" s="118" t="n">
        <x:v>1.54</x:v>
      </x:c>
      <x:c r="G96" s="118" t="inlineStr">
        <x:is>
          <x:t xml:space="preserve">+95.0%</x:t>
        </x:is>
      </x:c>
    </x:row>
    <x:row r="97" s="160" customFormat="1" ht="13.050000190734863" customHeight="1">
      <x:c r="A97" s="119" t="n">
        <x:v>18</x:v>
      </x:c>
      <x:c r="B97" s="120" t="n">
        <x:v>2.54</x:v>
      </x:c>
      <x:c r="C97" s="120" t="n">
        <x:v>2.23</x:v>
      </x:c>
      <x:c r="D97" s="120" t="n">
        <x:v>1.97</x:v>
      </x:c>
      <x:c r="E97" s="120" t="n">
        <x:v>1.75</x:v>
      </x:c>
      <x:c r="F97" s="120" t="n">
        <x:v>1.55</x:v>
      </x:c>
      <x:c r="G97" s="120" t="inlineStr">
        <x:is>
          <x:t xml:space="preserve">+97.0%</x:t>
        </x:is>
      </x:c>
    </x:row>
    <x:row r="98" s="160" customFormat="1" ht="13.050000190734863" customHeight="1">
      <x:c r="A98" s="117" t="n">
        <x:v>19</x:v>
      </x:c>
      <x:c r="B98" s="118" t="n">
        <x:v>2.58</x:v>
      </x:c>
      <x:c r="C98" s="118" t="n">
        <x:v>2.26</x:v>
      </x:c>
      <x:c r="D98" s="118" t="n">
        <x:v>2</x:v>
      </x:c>
      <x:c r="E98" s="118" t="n">
        <x:v>1.76</x:v>
      </x:c>
      <x:c r="F98" s="118" t="n">
        <x:v>1.56</x:v>
      </x:c>
      <x:c r="G98" s="118" t="inlineStr">
        <x:is>
          <x:t xml:space="preserve">+100.0%</x:t>
        </x:is>
      </x:c>
    </x:row>
    <x:row r="99" s="160" customFormat="1" ht="13.050000190734863" customHeight="1">
      <x:c r="A99" s="119" t="n">
        <x:v>20</x:v>
      </x:c>
      <x:c r="B99" s="120" t="n">
        <x:v>2.62</x:v>
      </x:c>
      <x:c r="C99" s="120" t="n">
        <x:v>2.3</x:v>
      </x:c>
      <x:c r="D99" s="120" t="n">
        <x:v>2.02</x:v>
      </x:c>
      <x:c r="E99" s="120" t="n">
        <x:v>1.78</x:v>
      </x:c>
      <x:c r="F99" s="120" t="n">
        <x:v>1.58</x:v>
      </x:c>
      <x:c r="G99" s="120" t="inlineStr">
        <x:is>
          <x:t xml:space="preserve">+102.0%</x:t>
        </x:is>
      </x:c>
    </x:row>
    <x:row r="100" s="160" customFormat="1" ht="13.050000190734863" customHeight="1">
      <x:c r="A100" s="117" t="n">
        <x:v>25</x:v>
      </x:c>
      <x:c r="B100" s="118" t="n">
        <x:v>2.82</x:v>
      </x:c>
      <x:c r="C100" s="118" t="n">
        <x:v>2.44</x:v>
      </x:c>
      <x:c r="D100" s="118" t="n">
        <x:v>2.13</x:v>
      </x:c>
      <x:c r="E100" s="118" t="n">
        <x:v>1.86</x:v>
      </x:c>
      <x:c r="F100" s="118" t="n">
        <x:v>1.63</x:v>
      </x:c>
      <x:c r="G100" s="118" t="inlineStr">
        <x:is>
          <x:t xml:space="preserve">+113.0%</x:t>
        </x:is>
      </x:c>
    </x:row>
    <x:row r="101" s="160" customFormat="1" ht="13.050000190734863" customHeight="1">
      <x:c r="A101" s="119" t="n">
        <x:v>30</x:v>
      </x:c>
      <x:c r="B101" s="120" t="n">
        <x:v>2.99</x:v>
      </x:c>
      <x:c r="C101" s="120" t="n">
        <x:v>2.57</x:v>
      </x:c>
      <x:c r="D101" s="120" t="n">
        <x:v>2.22</x:v>
      </x:c>
      <x:c r="E101" s="120" t="n">
        <x:v>1.93</x:v>
      </x:c>
      <x:c r="F101" s="120" t="n">
        <x:v>1.68</x:v>
      </x:c>
      <x:c r="G101" s="120" t="inlineStr">
        <x:is>
          <x:t xml:space="preserve">+122.0%</x:t>
        </x:is>
      </x:c>
    </x:row>
    <x:row r="102" s="160" customFormat="1" ht="13.050000190734863" customHeight="1">
      <x:c r="A102" s="117" t="n">
        <x:v>35</x:v>
      </x:c>
      <x:c r="B102" s="118" t="n">
        <x:v>3.14</x:v>
      </x:c>
      <x:c r="C102" s="118" t="n">
        <x:v>2.68</x:v>
      </x:c>
      <x:c r="D102" s="118" t="n">
        <x:v>2.31</x:v>
      </x:c>
      <x:c r="E102" s="118" t="n">
        <x:v>1.98</x:v>
      </x:c>
      <x:c r="F102" s="118" t="n">
        <x:v>1.72</x:v>
      </x:c>
      <x:c r="G102" s="118" t="inlineStr">
        <x:is>
          <x:t xml:space="preserve">+131.0%</x:t>
        </x:is>
      </x:c>
    </x:row>
    <x:row r="103" s="160" customFormat="1" ht="13.050000190734863" customHeight="1">
      <x:c r="A103" s="119" t="n">
        <x:v>40</x:v>
      </x:c>
      <x:c r="B103" s="120" t="n">
        <x:v>3.28</x:v>
      </x:c>
      <x:c r="C103" s="120" t="n">
        <x:v>2.78</x:v>
      </x:c>
      <x:c r="D103" s="120" t="n">
        <x:v>2.38</x:v>
      </x:c>
      <x:c r="E103" s="120" t="n">
        <x:v>2.04</x:v>
      </x:c>
      <x:c r="F103" s="120" t="n">
        <x:v>1.75</x:v>
      </x:c>
      <x:c r="G103" s="120" t="inlineStr">
        <x:is>
          <x:t xml:space="preserve">+138.0%</x:t>
        </x:is>
      </x:c>
    </x:row>
    <x:row r="104" s="160" customFormat="1" ht="13.050000190734863" customHeight="1">
      <x:c r="A104" s="117" t="n">
        <x:v>45</x:v>
      </x:c>
      <x:c r="B104" s="118" t="n">
        <x:v>3.41</x:v>
      </x:c>
      <x:c r="C104" s="118" t="n">
        <x:v>2.88</x:v>
      </x:c>
      <x:c r="D104" s="118" t="n">
        <x:v>2.45</x:v>
      </x:c>
      <x:c r="E104" s="118" t="n">
        <x:v>2.08</x:v>
      </x:c>
      <x:c r="F104" s="118" t="n">
        <x:v>1.78</x:v>
      </x:c>
      <x:c r="G104" s="118" t="inlineStr">
        <x:is>
          <x:t xml:space="preserve">+145.0%</x:t>
        </x:is>
      </x:c>
    </x:row>
    <x:row r="105" s="160" customFormat="1" ht="13.050000190734863" customHeight="1">
      <x:c r="A105" s="119" t="n">
        <x:v>50</x:v>
      </x:c>
      <x:c r="B105" s="120" t="n">
        <x:v>3.52</x:v>
      </x:c>
      <x:c r="C105" s="120" t="n">
        <x:v>2.96</x:v>
      </x:c>
      <x:c r="D105" s="120" t="n">
        <x:v>2.51</x:v>
      </x:c>
      <x:c r="E105" s="120" t="n">
        <x:v>2.12</x:v>
      </x:c>
      <x:c r="F105" s="120" t="n">
        <x:v>1.81</x:v>
      </x:c>
      <x:c r="G105" s="120" t="inlineStr">
        <x:is>
          <x:t xml:space="preserve">+151.0%</x:t>
        </x:is>
      </x:c>
    </x:row>
    <x:row r="106" s="160" customFormat="1" ht="13.050000190734863" customHeight="1">
      <x:c r="A106" s="117" t="n">
        <x:v>55</x:v>
      </x:c>
      <x:c r="B106" s="118" t="n">
        <x:v>3.63</x:v>
      </x:c>
      <x:c r="C106" s="118" t="n">
        <x:v>3.04</x:v>
      </x:c>
      <x:c r="D106" s="118" t="n">
        <x:v>2.56</x:v>
      </x:c>
      <x:c r="E106" s="118" t="n">
        <x:v>2.16</x:v>
      </x:c>
      <x:c r="F106" s="118" t="n">
        <x:v>1.84</x:v>
      </x:c>
      <x:c r="G106" s="118" t="inlineStr">
        <x:is>
          <x:t xml:space="preserve">+156.0%</x:t>
        </x:is>
      </x:c>
    </x:row>
    <x:row r="107" s="160" customFormat="1" ht="13.050000190734863" customHeight="1">
      <x:c r="A107" s="119" t="n">
        <x:v>60</x:v>
      </x:c>
      <x:c r="B107" s="120" t="n">
        <x:v>3.74</x:v>
      </x:c>
      <x:c r="C107" s="120" t="n">
        <x:v>3.12</x:v>
      </x:c>
      <x:c r="D107" s="120" t="n">
        <x:v>2.62</x:v>
      </x:c>
      <x:c r="E107" s="120" t="n">
        <x:v>2.2</x:v>
      </x:c>
      <x:c r="F107" s="120" t="n">
        <x:v>1.86</x:v>
      </x:c>
      <x:c r="G107" s="120" t="inlineStr">
        <x:is>
          <x:t xml:space="preserve">+162.0%</x:t>
        </x:is>
      </x:c>
    </x:row>
    <x:row r="108" s="160" customFormat="1" ht="13.050000190734863" customHeight="1">
      <x:c r="A108" s="117" t="n">
        <x:v>65</x:v>
      </x:c>
      <x:c r="B108" s="118" t="n">
        <x:v>3.83</x:v>
      </x:c>
      <x:c r="C108" s="118" t="n">
        <x:v>3.19</x:v>
      </x:c>
      <x:c r="D108" s="118" t="n">
        <x:v>2.67</x:v>
      </x:c>
      <x:c r="E108" s="118" t="n">
        <x:v>2.23</x:v>
      </x:c>
      <x:c r="F108" s="118" t="n">
        <x:v>1.89</x:v>
      </x:c>
      <x:c r="G108" s="118" t="inlineStr">
        <x:is>
          <x:t xml:space="preserve">+167.0%</x:t>
        </x:is>
      </x:c>
    </x:row>
    <x:row r="109" s="160" customFormat="1" ht="13.050000190734863" customHeight="1">
      <x:c r="A109" s="119" t="n">
        <x:v>70</x:v>
      </x:c>
      <x:c r="B109" s="120" t="n">
        <x:v>3.93</x:v>
      </x:c>
      <x:c r="C109" s="120" t="n">
        <x:v>3.25</x:v>
      </x:c>
      <x:c r="D109" s="120" t="n">
        <x:v>2.71</x:v>
      </x:c>
      <x:c r="E109" s="120" t="n">
        <x:v>2.27</x:v>
      </x:c>
      <x:c r="F109" s="120" t="n">
        <x:v>1.91</x:v>
      </x:c>
      <x:c r="G109" s="120" t="inlineStr">
        <x:is>
          <x:t xml:space="preserve">+171.0%</x:t>
        </x:is>
      </x:c>
    </x:row>
    <x:row r="110" s="160" customFormat="1" ht="13.050000190734863" customHeight="1">
      <x:c r="A110" s="117" t="n">
        <x:v>75</x:v>
      </x:c>
      <x:c r="B110" s="118" t="n">
        <x:v>4.02</x:v>
      </x:c>
      <x:c r="C110" s="118" t="n">
        <x:v>3.31</x:v>
      </x:c>
      <x:c r="D110" s="118" t="n">
        <x:v>2.76</x:v>
      </x:c>
      <x:c r="E110" s="118" t="n">
        <x:v>2.3</x:v>
      </x:c>
      <x:c r="F110" s="118" t="n">
        <x:v>1.93</x:v>
      </x:c>
      <x:c r="G110" s="118" t="inlineStr">
        <x:is>
          <x:t xml:space="preserve">+176.0%</x:t>
        </x:is>
      </x:c>
    </x:row>
    <x:row r="111" s="160" customFormat="1" ht="13.050000190734863" customHeight="1">
      <x:c r="A111" s="119" t="n">
        <x:v>80</x:v>
      </x:c>
      <x:c r="B111" s="120" t="n">
        <x:v>4.1</x:v>
      </x:c>
      <x:c r="C111" s="120" t="n">
        <x:v>3.37</x:v>
      </x:c>
      <x:c r="D111" s="120" t="n">
        <x:v>2.8</x:v>
      </x:c>
      <x:c r="E111" s="120" t="n">
        <x:v>2.33</x:v>
      </x:c>
      <x:c r="F111" s="120" t="n">
        <x:v>1.95</x:v>
      </x:c>
      <x:c r="G111" s="120" t="inlineStr">
        <x:is>
          <x:t xml:space="preserve">+180.0%</x:t>
        </x:is>
      </x:c>
    </x:row>
    <x:row r="112" s="160" customFormat="1" ht="13.050000190734863" customHeight="1">
      <x:c r="A112" s="117" t="n">
        <x:v>85</x:v>
      </x:c>
      <x:c r="B112" s="118" t="n">
        <x:v>4.18</x:v>
      </x:c>
      <x:c r="C112" s="118" t="n">
        <x:v>3.43</x:v>
      </x:c>
      <x:c r="D112" s="118" t="n">
        <x:v>2.84</x:v>
      </x:c>
      <x:c r="E112" s="118" t="n">
        <x:v>2.35</x:v>
      </x:c>
      <x:c r="F112" s="118" t="n">
        <x:v>1.96</x:v>
      </x:c>
      <x:c r="G112" s="118" t="inlineStr">
        <x:is>
          <x:t xml:space="preserve">+184.0%</x:t>
        </x:is>
      </x:c>
    </x:row>
    <x:row r="113" s="160" customFormat="1" ht="13.050000190734863" customHeight="1">
      <x:c r="A113" s="119" t="n">
        <x:v>90</x:v>
      </x:c>
      <x:c r="B113" s="120" t="n">
        <x:v>4.26</x:v>
      </x:c>
      <x:c r="C113" s="120" t="n">
        <x:v>3.49</x:v>
      </x:c>
      <x:c r="D113" s="120" t="n">
        <x:v>2.88</x:v>
      </x:c>
      <x:c r="E113" s="120" t="n">
        <x:v>2.38</x:v>
      </x:c>
      <x:c r="F113" s="120" t="n">
        <x:v>1.98</x:v>
      </x:c>
      <x:c r="G113" s="120" t="inlineStr">
        <x:is>
          <x:t xml:space="preserve">+188.0%</x:t>
        </x:is>
      </x:c>
    </x:row>
    <x:row r="114" s="160" customFormat="1" ht="13.050000190734863" customHeight="1">
      <x:c r="A114" s="117" t="n">
        <x:v>95</x:v>
      </x:c>
      <x:c r="B114" s="118" t="n">
        <x:v>4.33</x:v>
      </x:c>
      <x:c r="C114" s="118" t="n">
        <x:v>3.54</x:v>
      </x:c>
      <x:c r="D114" s="118" t="n">
        <x:v>2.92</x:v>
      </x:c>
      <x:c r="E114" s="118" t="n">
        <x:v>2.4</x:v>
      </x:c>
      <x:c r="F114" s="118" t="n">
        <x:v>2</x:v>
      </x:c>
      <x:c r="G114" s="118" t="inlineStr">
        <x:is>
          <x:t xml:space="preserve">+192.0%</x:t>
        </x:is>
      </x:c>
    </x:row>
    <x:row r="115" s="160" customFormat="1" ht="13.050000190734863" customHeight="1">
      <x:c r="A115" s="119" t="n">
        <x:v>100</x:v>
      </x:c>
      <x:c r="B115" s="120" t="n">
        <x:v>4.41</x:v>
      </x:c>
      <x:c r="C115" s="120" t="n">
        <x:v>3.59</x:v>
      </x:c>
      <x:c r="D115" s="120" t="n">
        <x:v>2.95</x:v>
      </x:c>
      <x:c r="E115" s="120" t="n">
        <x:v>2.43</x:v>
      </x:c>
      <x:c r="F115" s="120" t="n">
        <x:v>2.01</x:v>
      </x:c>
      <x:c r="G115" s="120" t="inlineStr">
        <x:is>
          <x:t xml:space="preserve">+195.0%</x:t>
        </x:is>
      </x:c>
    </x:row>
  </x:sheetData>
  <x:mergeCells>
    <x:mergeCell ref="A2:G2"/>
    <x:mergeCell ref="A1:G1"/>
  </x:mergeCells>
  <x:pageMargins left="0.7" right="0.7" top="0.75" bottom="0.75" header="0.3" footer="0.3"/>
</x:worksheet>
</file>