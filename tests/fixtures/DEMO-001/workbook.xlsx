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take" sheetId="1" state="visible" r:id="rId3"/>
    <sheet name="sales" sheetId="2" state="visible" r:id="rId4"/>
    <sheet name="cost" sheetId="3" state="visible" r:id="rId5"/>
    <sheet name="noi_adj" sheetId="4" state="visible" r:id="rId6"/>
    <sheet name="cap_rates" sheetId="5" state="visible" r:id="rId7"/>
    <sheet name="pgi_calc" sheetId="6" state="visible" r:id="rId8"/>
    <sheet name="lease_comps" sheetId="7" state="visible" r:id="rId9"/>
    <sheet name="lease_metrics" sheetId="8" state="visible" r:id="rId10"/>
    <sheet name="qualitative_analysis" sheetId="9" state="visible" r:id="rId11"/>
    <sheet name="subject_units" sheetId="10" state="visible" r:id="rId12"/>
    <sheet name="expense_comp" sheetId="11" state="visible" r:id="rId13"/>
    <sheet name="income_summary" sheetId="12" state="visible" r:id="rId14"/>
    <sheet name="outputs" sheetId="13" state="visible" r:id="rId15"/>
    <sheet name="comp_data" sheetId="14" state="visible" r:id="rId16"/>
    <sheet name="dilmore" sheetId="15" state="visible" r:id="rId17"/>
    <sheet name="sca_adjustment_grid" sheetId="16" state="visible" r:id="rId18"/>
    <sheet name="land_adjustment_grid" sheetId="17" state="visible" r:id="rId19"/>
    <sheet name="sca_qualitative" sheetId="18" state="visible" r:id="rId20"/>
    <sheet name="land_qualitative" sheetId="19" state="visible" r:id="rId21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<sst xmlns="http://schemas.openxmlformats.org/spreadsheetml/2006/main" count="1317" uniqueCount="1050">
  <si>
    <t xml:space="preserve">ASSIGNMENT INTAKE FORM</t>
  </si>
  <si>
    <t xml:space="preserve">Key</t>
  </si>
  <si>
    <t xml:space="preserve">Value  ←  fill here</t>
  </si>
  <si>
    <t xml:space="preserve">Hint</t>
  </si>
  <si>
    <t xml:space="preserve">Status</t>
  </si>
  <si>
    <t xml:space="preserve">▶  EXPORT JSON  —  see ExportJSON_macro.txt to enable this button in Excel</t>
  </si>
  <si>
    <t xml:space="preserve">Output: {FILE_NO}_variables.json  in the same folder as this workbook</t>
  </si>
  <si>
    <t xml:space="preserve">ASSIGNMENT</t>
  </si>
  <si>
    <t xml:space="preserve">FILE_NO</t>
  </si>
  <si>
    <t xml:space="preserve">DEMO-001</t>
  </si>
  <si>
    <t xml:space="preserve">e.g. DEMO-001</t>
  </si>
  <si>
    <t xml:space="preserve">REPORT_DATE</t>
  </si>
  <si>
    <t xml:space="preserve">June 26, 2026</t>
  </si>
  <si>
    <t xml:space="preserve">e.g. June 26, 2026</t>
  </si>
  <si>
    <t xml:space="preserve">ENGAGEMENT_DATE</t>
  </si>
  <si>
    <t xml:space="preserve">EFFECTIVE_DATE</t>
  </si>
  <si>
    <t xml:space="preserve">May 28, 2026</t>
  </si>
  <si>
    <t xml:space="preserve">e.g. June 1, 2026</t>
  </si>
  <si>
    <t xml:space="preserve">DELIVERY_DATE</t>
  </si>
  <si>
    <t xml:space="preserve">e.g. July 10, 2026</t>
  </si>
  <si>
    <t xml:space="preserve">TURNAROUND_DAYS</t>
  </si>
  <si>
    <t xml:space="preserve">e.g. 10</t>
  </si>
  <si>
    <t xml:space="preserve">CLIENT &amp; CONTACT</t>
  </si>
  <si>
    <t xml:space="preserve">CLIENT_NAME</t>
  </si>
  <si>
    <t xml:space="preserve">Northstar Example Holdings, LLC</t>
  </si>
  <si>
    <t xml:space="preserve">Legal entity name</t>
  </si>
  <si>
    <t xml:space="preserve">CONTACT_NAME</t>
  </si>
  <si>
    <t xml:space="preserve">Jordan Example</t>
  </si>
  <si>
    <t xml:space="preserve">Full name</t>
  </si>
  <si>
    <t xml:space="preserve">CONTACT_SALUTATION</t>
  </si>
  <si>
    <t xml:space="preserve">Ms. Example</t>
  </si>
  <si>
    <t xml:space="preserve">e.g. Mr. Smith</t>
  </si>
  <si>
    <t xml:space="preserve">CLIENT_ADDR1</t>
  </si>
  <si>
    <t xml:space="preserve">1000 Demonstration Plaza, Suite 200</t>
  </si>
  <si>
    <t xml:space="preserve">Street address</t>
  </si>
  <si>
    <t xml:space="preserve">CLIENT_ADDR2</t>
  </si>
  <si>
    <t xml:space="preserve">Sample City, Alabama 35000</t>
  </si>
  <si>
    <t xml:space="preserve">City, State ZIP</t>
  </si>
  <si>
    <t xml:space="preserve">INTENDED_USE</t>
  </si>
  <si>
    <t xml:space="preserve">Internal Decision Making</t>
  </si>
  <si>
    <t xml:space="preserve">e.g. Mortgage financing</t>
  </si>
  <si>
    <t xml:space="preserve">PROPERTY</t>
  </si>
  <si>
    <t xml:space="preserve">PROPERTY_ADDRESS</t>
  </si>
  <si>
    <t xml:space="preserve">100 Example Commerce Way</t>
  </si>
  <si>
    <t xml:space="preserve">PROPERTY_CITY</t>
  </si>
  <si>
    <t xml:space="preserve">Sample City</t>
  </si>
  <si>
    <t xml:space="preserve">e.g. Test Metro</t>
  </si>
  <si>
    <t xml:space="preserve">PROPERTY_ZIP</t>
  </si>
  <si>
    <t xml:space="preserve">35000</t>
  </si>
  <si>
    <t xml:space="preserve">e.g. 35203</t>
  </si>
  <si>
    <t xml:space="preserve">PROPERTY_COUNTY</t>
  </si>
  <si>
    <t xml:space="preserve">Example County</t>
  </si>
  <si>
    <t xml:space="preserve">e.g. Example</t>
  </si>
  <si>
    <t xml:space="preserve">PROPERTY_STATE</t>
  </si>
  <si>
    <t xml:space="preserve">Alabama</t>
  </si>
  <si>
    <t xml:space="preserve">e.g. Alabama</t>
  </si>
  <si>
    <t xml:space="preserve">PARCEL_ID</t>
  </si>
  <si>
    <t xml:space="preserve">Tax parcel number</t>
  </si>
  <si>
    <t xml:space="preserve">PROPERTY_SUBTYPE_TABLE</t>
  </si>
  <si>
    <t xml:space="preserve">Multi-Tenant Office</t>
  </si>
  <si>
    <t xml:space="preserve">e.g. Multi-Tenant Office</t>
  </si>
  <si>
    <t xml:space="preserve">PROPERTY_RIGHTS</t>
  </si>
  <si>
    <t xml:space="preserve">Leased Fee Estate</t>
  </si>
  <si>
    <t xml:space="preserve">e.g. Fee Simple</t>
  </si>
  <si>
    <t xml:space="preserve">REPORT_TYPE</t>
  </si>
  <si>
    <t xml:space="preserve">Appraisal Report</t>
  </si>
  <si>
    <t xml:space="preserve">e.g. Appraisal Report</t>
  </si>
  <si>
    <t xml:space="preserve">PHYSICAL CHARACTERISTICS</t>
  </si>
  <si>
    <t xml:space="preserve">YEAR_BUILT</t>
  </si>
  <si>
    <t xml:space="preserve">1980</t>
  </si>
  <si>
    <t xml:space="preserve">e.g. 1985</t>
  </si>
  <si>
    <t xml:space="preserve">YEAR_RENOVATED</t>
  </si>
  <si>
    <t xml:space="preserve">Leave blank if N/A</t>
  </si>
  <si>
    <t xml:space="preserve">GBA</t>
  </si>
  <si>
    <t xml:space="preserve">22,668</t>
  </si>
  <si>
    <t xml:space="preserve">Gross Building Area</t>
  </si>
  <si>
    <t xml:space="preserve">NRA</t>
  </si>
  <si>
    <t xml:space="preserve">Net Rentable Area</t>
  </si>
  <si>
    <t xml:space="preserve">LAND_AREA_SF</t>
  </si>
  <si>
    <t xml:space="preserve">LAND_AREA_AC</t>
  </si>
  <si>
    <t xml:space="preserve">NUM_UNITS</t>
  </si>
  <si>
    <t xml:space="preserve">NUM_FLOORS</t>
  </si>
  <si>
    <t xml:space="preserve">OCCUPANCY_RATE</t>
  </si>
  <si>
    <t xml:space="preserve">e.g. 85%</t>
  </si>
  <si>
    <t xml:space="preserve">PARKING_SPACES</t>
  </si>
  <si>
    <t xml:space="preserve">ZONING</t>
  </si>
  <si>
    <t xml:space="preserve">e.g. B-2</t>
  </si>
  <si>
    <t xml:space="preserve">LEGAL_DESCRIPTION</t>
  </si>
  <si>
    <t xml:space="preserve">Demo Lot 1, Example Commerce Center, fictional legal description for software testing only</t>
  </si>
  <si>
    <t xml:space="preserve">UTILITIES &amp; SITE SERVICES</t>
  </si>
  <si>
    <t xml:space="preserve">UTILITY_ELECTRIC</t>
  </si>
  <si>
    <t xml:space="preserve">Example Electric Cooperative</t>
  </si>
  <si>
    <t xml:space="preserve">e.g. Example Electric Cooperative</t>
  </si>
  <si>
    <t xml:space="preserve">UTILITY_GAS</t>
  </si>
  <si>
    <t xml:space="preserve">Example Gas Utility</t>
  </si>
  <si>
    <t xml:space="preserve">e.g. Example Gas Utility</t>
  </si>
  <si>
    <t xml:space="preserve">UTILITY_WATER</t>
  </si>
  <si>
    <t xml:space="preserve">Sample City Water</t>
  </si>
  <si>
    <t xml:space="preserve">e.g. Test Metro Water Works</t>
  </si>
  <si>
    <t xml:space="preserve">UTILITY_SEWER</t>
  </si>
  <si>
    <t xml:space="preserve">e.g. Example County</t>
  </si>
  <si>
    <t xml:space="preserve">UTILITY_TELECOM</t>
  </si>
  <si>
    <t xml:space="preserve">Example Telecom</t>
  </si>
  <si>
    <t xml:space="preserve">e.g. Example Telecom</t>
  </si>
  <si>
    <t xml:space="preserve">FIRE_PROTECTION</t>
  </si>
  <si>
    <t xml:space="preserve">Municipal</t>
  </si>
  <si>
    <t xml:space="preserve">e.g. Municipal / Volunteer</t>
  </si>
  <si>
    <t xml:space="preserve">SITE_LIGHTING</t>
  </si>
  <si>
    <t xml:space="preserve">Present</t>
  </si>
  <si>
    <t xml:space="preserve">e.g. Present / None</t>
  </si>
  <si>
    <t xml:space="preserve">SIGNAGE</t>
  </si>
  <si>
    <t xml:space="preserve">HIGHEST &amp; BEST USE</t>
  </si>
  <si>
    <t xml:space="preserve">HBU_TIMING</t>
  </si>
  <si>
    <t xml:space="preserve">Immediately</t>
  </si>
  <si>
    <t xml:space="preserve">HBU_VACANT</t>
  </si>
  <si>
    <t xml:space="preserve">Office Development</t>
  </si>
  <si>
    <t xml:space="preserve">e.g. Office Development</t>
  </si>
  <si>
    <t xml:space="preserve">HBU_IMPROVED</t>
  </si>
  <si>
    <t xml:space="preserve">Continued Office Use</t>
  </si>
  <si>
    <t xml:space="preserve">e.g. Continued Office Use</t>
  </si>
  <si>
    <t xml:space="preserve">HBU_USER</t>
  </si>
  <si>
    <t xml:space="preserve">Owner-user or investor seeking income-producing commercial property.</t>
  </si>
  <si>
    <t xml:space="preserve">Likely user description</t>
  </si>
  <si>
    <t xml:space="preserve">HBU_BUYER_VACANT</t>
  </si>
  <si>
    <t xml:space="preserve">Developer or investor seeking office development opportunity.</t>
  </si>
  <si>
    <t xml:space="preserve">Likely buyer if vacant</t>
  </si>
  <si>
    <t xml:space="preserve">HBU_BUYER_IMPROVED</t>
  </si>
  <si>
    <t xml:space="preserve">Local or regional investor seeking stabilized office income.</t>
  </si>
  <si>
    <t xml:space="preserve">Likely buyer if improved</t>
  </si>
  <si>
    <t xml:space="preserve">VALUATION APPROACHES</t>
  </si>
  <si>
    <t xml:space="preserve">VALUE_TYPE</t>
  </si>
  <si>
    <t xml:space="preserve">As-Is Market Value</t>
  </si>
  <si>
    <t xml:space="preserve">e.g. As-Is Market Value</t>
  </si>
  <si>
    <t xml:space="preserve">VALUE_TYPE_SHORT</t>
  </si>
  <si>
    <t xml:space="preserve">As-Is</t>
  </si>
  <si>
    <t xml:space="preserve">e.g. As-Is</t>
  </si>
  <si>
    <t xml:space="preserve">CA_WEIGHT</t>
  </si>
  <si>
    <t xml:space="preserve">N/A</t>
  </si>
  <si>
    <t xml:space="preserve">e.g. 0 or N/A</t>
  </si>
  <si>
    <t xml:space="preserve">SCA_WEIGHT</t>
  </si>
  <si>
    <t xml:space="preserve">60%</t>
  </si>
  <si>
    <t xml:space="preserve">e.g. 60%</t>
  </si>
  <si>
    <t xml:space="preserve">IA_WEIGHT</t>
  </si>
  <si>
    <t xml:space="preserve">40%</t>
  </si>
  <si>
    <t xml:space="preserve">e.g. 40%</t>
  </si>
  <si>
    <t xml:space="preserve">CA_DEVELOPED</t>
  </si>
  <si>
    <t xml:space="preserve">SCA_DEVELOPED</t>
  </si>
  <si>
    <t xml:space="preserve">IA_DEVELOPED</t>
  </si>
  <si>
    <t xml:space="preserve">VALUE_CONCLUSION</t>
  </si>
  <si>
    <t xml:space="preserve">e.g. $1,375,000</t>
  </si>
  <si>
    <t xml:space="preserve">VALUE_WORDS</t>
  </si>
  <si>
    <t xml:space="preserve">ONE MILLION THREE HUNDRED SEVENTY-FIVE THOUSAND DOLLARS</t>
  </si>
  <si>
    <t xml:space="preserve">e.g. ONE MILLION...</t>
  </si>
  <si>
    <t xml:space="preserve">VALUE_WORDS_FORMAL</t>
  </si>
  <si>
    <t xml:space="preserve">SCA_VALUE</t>
  </si>
  <si>
    <t xml:space="preserve">IA_VALUE</t>
  </si>
  <si>
    <t xml:space="preserve">IA_STABILIZED_VALUE</t>
  </si>
  <si>
    <t xml:space="preserve">$1,400,000</t>
  </si>
  <si>
    <t xml:space="preserve">If different</t>
  </si>
  <si>
    <t xml:space="preserve">CAP_RATE</t>
  </si>
  <si>
    <t xml:space="preserve">e.g. 9.50%</t>
  </si>
  <si>
    <t xml:space="preserve">MARKETING_TIME</t>
  </si>
  <si>
    <t xml:space="preserve">Six to Twelve Months</t>
  </si>
  <si>
    <t xml:space="preserve">e.g. Six to Twelve Months</t>
  </si>
  <si>
    <t xml:space="preserve">EXPOSURE_TIME</t>
  </si>
  <si>
    <t xml:space="preserve">INCOME</t>
  </si>
  <si>
    <t xml:space="preserve">MARKET_RENT_PSF</t>
  </si>
  <si>
    <t xml:space="preserve">e.g. $12.00</t>
  </si>
  <si>
    <t xml:space="preserve">OWNER_OCC_SF</t>
  </si>
  <si>
    <t xml:space="preserve">10,920</t>
  </si>
  <si>
    <t xml:space="preserve">0 if none</t>
  </si>
  <si>
    <t xml:space="preserve">OCCUPANCY_PERCENT</t>
  </si>
  <si>
    <t xml:space="preserve">PGI</t>
  </si>
  <si>
    <t xml:space="preserve">e.g. $272,016</t>
  </si>
  <si>
    <t xml:space="preserve">EGI</t>
  </si>
  <si>
    <t xml:space="preserve">e.g. $231,214</t>
  </si>
  <si>
    <t xml:space="preserve">NOI</t>
  </si>
  <si>
    <t xml:space="preserve">e.g. $130,484</t>
  </si>
  <si>
    <t xml:space="preserve">TAX &amp; LEGAL</t>
  </si>
  <si>
    <t xml:space="preserve">TAX_YEAR</t>
  </si>
  <si>
    <t xml:space="preserve">2024</t>
  </si>
  <si>
    <t xml:space="preserve">e.g. 2024</t>
  </si>
  <si>
    <t xml:space="preserve">ASSESSMENT_RATIO</t>
  </si>
  <si>
    <t xml:space="preserve">20%</t>
  </si>
  <si>
    <t xml:space="preserve">e.g. 20%</t>
  </si>
  <si>
    <t xml:space="preserve">ASSESSED_VALUE</t>
  </si>
  <si>
    <t xml:space="preserve">$384,160</t>
  </si>
  <si>
    <t xml:space="preserve">ASSESSOR_VALUE</t>
  </si>
  <si>
    <t xml:space="preserve">$1,920,800</t>
  </si>
  <si>
    <t xml:space="preserve">INDICATED_TAX</t>
  </si>
  <si>
    <t xml:space="preserve">$28,812</t>
  </si>
  <si>
    <t xml:space="preserve">MILLAGE_RATE</t>
  </si>
  <si>
    <t xml:space="preserve">0.0750</t>
  </si>
  <si>
    <t xml:space="preserve">ACTUAL_TAX</t>
  </si>
  <si>
    <t xml:space="preserve">ENGAGEMENT &amp; FEE</t>
  </si>
  <si>
    <t xml:space="preserve">FEE_AMOUNT</t>
  </si>
  <si>
    <t xml:space="preserve">$3,250.00</t>
  </si>
  <si>
    <t xml:space="preserve">e.g. $3,500</t>
  </si>
  <si>
    <t xml:space="preserve">HOURLY_RATE</t>
  </si>
  <si>
    <t xml:space="preserve">e.g. $200/hour</t>
  </si>
  <si>
    <t xml:space="preserve">PAYMENT_TERMS</t>
  </si>
  <si>
    <t xml:space="preserve">Payment due prior to delivery of the Appraisal Report</t>
  </si>
  <si>
    <t xml:space="preserve">e.g. Due upon delivery</t>
  </si>
  <si>
    <t xml:space="preserve">INSPECTION_DURATION</t>
  </si>
  <si>
    <t xml:space="preserve">one to two hours</t>
  </si>
  <si>
    <t xml:space="preserve">e.g. one to two hours</t>
  </si>
  <si>
    <t xml:space="preserve">INVOICE</t>
  </si>
  <si>
    <t xml:space="preserve">INVOICE_NO</t>
  </si>
  <si>
    <t xml:space="preserve">e.g. INV-DEMO-001</t>
  </si>
  <si>
    <t xml:space="preserve">INVOICE_DATE</t>
  </si>
  <si>
    <t xml:space="preserve">INVOICE_TOTAL</t>
  </si>
  <si>
    <t xml:space="preserve">Usually = FEE_AMOUNT</t>
  </si>
  <si>
    <t xml:space="preserve">DUE_DATE</t>
  </si>
  <si>
    <t xml:space="preserve">e.g. July 24, 2026</t>
  </si>
  <si>
    <t xml:space="preserve">SERVICE_DESCRIPTION</t>
  </si>
  <si>
    <t xml:space="preserve">Appraisal of 100 Example Commerce Way, Sample City, Alabama 35000</t>
  </si>
  <si>
    <t xml:space="preserve">One-line service desc</t>
  </si>
  <si>
    <t xml:space="preserve">ADDL_SERVICES</t>
  </si>
  <si>
    <t xml:space="preserve">ADDL_FEE</t>
  </si>
  <si>
    <t xml:space="preserve">REMIT_ADDRESS</t>
  </si>
  <si>
    <t xml:space="preserve">2159 Rocky Ridge Road, Suite 103, Hoover, Alabama 35216</t>
  </si>
  <si>
    <t xml:space="preserve">e.g. P.O. Box...</t>
  </si>
  <si>
    <t xml:space="preserve">INVOICE_NOTES</t>
  </si>
  <si>
    <t xml:space="preserve">Optional note to client</t>
  </si>
  <si>
    <t xml:space="preserve">PROPERTY &amp; OWNERSHIP</t>
  </si>
  <si>
    <t xml:space="preserve">OWNER_NAME</t>
  </si>
  <si>
    <t xml:space="preserve">Example Property Owner, LLC</t>
  </si>
  <si>
    <t xml:space="preserve">Current owner of record</t>
  </si>
  <si>
    <t xml:space="preserve">PROPERTY_CLASS</t>
  </si>
  <si>
    <t xml:space="preserve">Class B</t>
  </si>
  <si>
    <t xml:space="preserve">e.g. Class A / Class B / Class C</t>
  </si>
  <si>
    <t xml:space="preserve">SUBMARKET</t>
  </si>
  <si>
    <t xml:space="preserve">Demo North</t>
  </si>
  <si>
    <t xml:space="preserve">e.g. Sample City / Demo Hills / Downtown</t>
  </si>
  <si>
    <t xml:space="preserve">PRIOR_SALE_DATE</t>
  </si>
  <si>
    <t xml:space="preserve">No arm's-length transfers within the past three years.</t>
  </si>
  <si>
    <t xml:space="preserve">Most recent prior sale date</t>
  </si>
  <si>
    <t xml:space="preserve">PRIOR_SALE_PRICE</t>
  </si>
  <si>
    <t xml:space="preserve">Most recent prior sale price</t>
  </si>
  <si>
    <t xml:space="preserve">CURRENT_CONTRACT_PRICE</t>
  </si>
  <si>
    <t xml:space="preserve">Not Subject to a Current Purchase Contract</t>
  </si>
  <si>
    <t xml:space="preserve">Leave blank if not under contract</t>
  </si>
  <si>
    <t xml:space="preserve">INSPECTION_DATE</t>
  </si>
  <si>
    <t xml:space="preserve">May 26, 2026</t>
  </si>
  <si>
    <t xml:space="preserve">Date of physical inspection</t>
  </si>
  <si>
    <t xml:space="preserve">UNIT_OF_COMPARISON</t>
  </si>
  <si>
    <t xml:space="preserve">e.g. Price per SF / Price per Unit</t>
  </si>
  <si>
    <t xml:space="preserve">EXTRAORDINARY_ASSUMPTION</t>
  </si>
  <si>
    <t xml:space="preserve">The subject property is assumed capable of being subdivided as analyzed herein.</t>
  </si>
  <si>
    <t xml:space="preserve">Leave blank if none</t>
  </si>
  <si>
    <t xml:space="preserve">HYPOTHETICAL_CONDITION</t>
  </si>
  <si>
    <t xml:space="preserve">None</t>
  </si>
  <si>
    <t xml:space="preserve">BUILDING DESCRIPTION</t>
  </si>
  <si>
    <t xml:space="preserve">NLA</t>
  </si>
  <si>
    <t xml:space="preserve">20,383</t>
  </si>
  <si>
    <t xml:space="preserve">Net Leasable Area (SF)</t>
  </si>
  <si>
    <t xml:space="preserve">FOUNDATION</t>
  </si>
  <si>
    <t xml:space="preserve">Wood Subfloor</t>
  </si>
  <si>
    <t xml:space="preserve">e.g. Slab / Crawl Space / Basement</t>
  </si>
  <si>
    <t xml:space="preserve">FRAME</t>
  </si>
  <si>
    <t xml:space="preserve">Wood Frame</t>
  </si>
  <si>
    <t xml:space="preserve">e.g. Steel / Wood Frame / Masonry</t>
  </si>
  <si>
    <t xml:space="preserve">EXTERIOR_WALLS</t>
  </si>
  <si>
    <t xml:space="preserve">Brick</t>
  </si>
  <si>
    <t xml:space="preserve">e.g. Brick / EIFS / Metal Panel</t>
  </si>
  <si>
    <t xml:space="preserve">ROOF</t>
  </si>
  <si>
    <t xml:space="preserve">Built Up</t>
  </si>
  <si>
    <t xml:space="preserve">e.g. Built-Up / TPO / Metal</t>
  </si>
  <si>
    <t xml:space="preserve">HVAC</t>
  </si>
  <si>
    <t xml:space="preserve">Central Heating and Cooling</t>
  </si>
  <si>
    <t xml:space="preserve">e.g. Central / Package Units / Split</t>
  </si>
  <si>
    <t xml:space="preserve">INTERIOR_WALLS</t>
  </si>
  <si>
    <t xml:space="preserve">Drywall</t>
  </si>
  <si>
    <t xml:space="preserve">e.g. Drywall / Painted CMU</t>
  </si>
  <si>
    <t xml:space="preserve">CEILING</t>
  </si>
  <si>
    <t xml:space="preserve">Acoustical Tile and Drywall</t>
  </si>
  <si>
    <t xml:space="preserve">e.g. Drop Tile / Exposed / Drywall</t>
  </si>
  <si>
    <t xml:space="preserve">FLOORS</t>
  </si>
  <si>
    <t xml:space="preserve">Carpet, Tile, Composite, LVP</t>
  </si>
  <si>
    <t xml:space="preserve">e.g. Carpet / VCT / Hardwood</t>
  </si>
  <si>
    <t xml:space="preserve">LIGHTING</t>
  </si>
  <si>
    <t xml:space="preserve">Fluorescent and LED</t>
  </si>
  <si>
    <t xml:space="preserve">e.g. Fluorescent / LED</t>
  </si>
  <si>
    <t xml:space="preserve">WINDOWS</t>
  </si>
  <si>
    <t xml:space="preserve">Metal and Storefront Glass</t>
  </si>
  <si>
    <t xml:space="preserve">e.g. Single-pane / Double-pane / Tinted</t>
  </si>
  <si>
    <t xml:space="preserve">DOORS</t>
  </si>
  <si>
    <t xml:space="preserve">Wood, Metal, and Storefront Glass</t>
  </si>
  <si>
    <t xml:space="preserve">e.g. Hollow Core / Solid Core / Glass</t>
  </si>
  <si>
    <t xml:space="preserve">ELEVATOR</t>
  </si>
  <si>
    <t xml:space="preserve">No Elevator Service</t>
  </si>
  <si>
    <t xml:space="preserve">COMMON_AREA</t>
  </si>
  <si>
    <t xml:space="preserve">2,285</t>
  </si>
  <si>
    <t xml:space="preserve">e.g. Lobby, Restrooms, Hallways</t>
  </si>
  <si>
    <t xml:space="preserve">FFE</t>
  </si>
  <si>
    <t xml:space="preserve">None Considered</t>
  </si>
  <si>
    <t xml:space="preserve">Furniture/Fixtures/Equipment included? Yes/No</t>
  </si>
  <si>
    <t xml:space="preserve">DEFERRED_MAINTENANCE</t>
  </si>
  <si>
    <t xml:space="preserve">See Photographs</t>
  </si>
  <si>
    <t xml:space="preserve">Brief description or None</t>
  </si>
  <si>
    <t xml:space="preserve">SUBJECT_CONDITION</t>
  </si>
  <si>
    <t xml:space="preserve">Average</t>
  </si>
  <si>
    <t xml:space="preserve">e.g. Good / Average / Fair / Poor</t>
  </si>
  <si>
    <t xml:space="preserve">SITE DESCRIPTION</t>
  </si>
  <si>
    <t xml:space="preserve">SITE_SHAPE</t>
  </si>
  <si>
    <t xml:space="preserve">Irregular</t>
  </si>
  <si>
    <t xml:space="preserve">e.g. Rectangular / Irregular</t>
  </si>
  <si>
    <t xml:space="preserve">TOPOGRAPHY</t>
  </si>
  <si>
    <t xml:space="preserve">Level-to-Sloping</t>
  </si>
  <si>
    <t xml:space="preserve">e.g. Level / Gently Rolling / Sloping</t>
  </si>
  <si>
    <t xml:space="preserve">FRONTAGE_STREET</t>
  </si>
  <si>
    <t xml:space="preserve">Example Commerce Way</t>
  </si>
  <si>
    <t xml:space="preserve">e.g. Example Commerce Way (100 LF)</t>
  </si>
  <si>
    <t xml:space="preserve">ADJACENT_USES</t>
  </si>
  <si>
    <t xml:space="preserve">Office and Retail-Service</t>
  </si>
  <si>
    <t xml:space="preserve">e.g. Office, Retail, Residential</t>
  </si>
  <si>
    <t xml:space="preserve">PERMITTED_USES</t>
  </si>
  <si>
    <t xml:space="preserve">Office, Retail-Service, and Light Industrial</t>
  </si>
  <si>
    <t xml:space="preserve">e.g. Office, Retail, Light Industrial</t>
  </si>
  <si>
    <t xml:space="preserve">ZONING_COMPLIANCE</t>
  </si>
  <si>
    <t xml:space="preserve">Legal and Conforming</t>
  </si>
  <si>
    <t xml:space="preserve">e.g. Legal Conforming / Legal Non-Conforming</t>
  </si>
  <si>
    <t xml:space="preserve">PARKING_TYPE</t>
  </si>
  <si>
    <t xml:space="preserve">Surface Parking (On-Site)</t>
  </si>
  <si>
    <t xml:space="preserve">e.g. Surface Lot / Structured / Street</t>
  </si>
  <si>
    <t xml:space="preserve">FLOOD_ZONE</t>
  </si>
  <si>
    <t xml:space="preserve">Zone X</t>
  </si>
  <si>
    <t xml:space="preserve">e.g. Zone X (No) / Zone AE (Yes)</t>
  </si>
  <si>
    <t xml:space="preserve">FEMA_PANEL</t>
  </si>
  <si>
    <t xml:space="preserve">00000C0001A - 01/01/2025</t>
  </si>
  <si>
    <t xml:space="preserve">e.g. 01073C0159E</t>
  </si>
  <si>
    <t xml:space="preserve">SUBJECT_ACCESS</t>
  </si>
  <si>
    <t xml:space="preserve">e.g. Good / Average / Inferior</t>
  </si>
  <si>
    <t xml:space="preserve">SUBJECT_VISIBILITY</t>
  </si>
  <si>
    <t xml:space="preserve">SUBJECT_INGRESS_EGRESS</t>
  </si>
  <si>
    <t xml:space="preserve">e.g. Two-way access off Example Commerce Way</t>
  </si>
  <si>
    <t xml:space="preserve">SUBJECT_CURB</t>
  </si>
  <si>
    <t xml:space="preserve">SUBJECT_SIDEWALK</t>
  </si>
  <si>
    <t xml:space="preserve">SUBJECT_STREETLIGHT</t>
  </si>
  <si>
    <t xml:space="preserve">SUBJECT PROPERTY REFERENCE</t>
  </si>
  <si>
    <t xml:space="preserve">Address</t>
  </si>
  <si>
    <t xml:space="preserve">City</t>
  </si>
  <si>
    <t xml:space="preserve">GBA (SF)</t>
  </si>
  <si>
    <t xml:space="preserve">Year Built</t>
  </si>
  <si>
    <t xml:space="preserve">Property Type</t>
  </si>
  <si>
    <t xml:space="preserve">Zoning</t>
  </si>
  <si>
    <t xml:space="preserve">Class</t>
  </si>
  <si>
    <t xml:space="preserve">Median HH Income</t>
  </si>
  <si>
    <t xml:space="preserve">Population</t>
  </si>
  <si>
    <t xml:space="preserve">Flood Zone</t>
  </si>
  <si>
    <t xml:space="preserve">LTB Ratio</t>
  </si>
  <si>
    <t xml:space="preserve">COMPARABLE SALES DATA</t>
  </si>
  <si>
    <t xml:space="preserve">Sale No.</t>
  </si>
  <si>
    <t xml:space="preserve">Sale Date</t>
  </si>
  <si>
    <t xml:space="preserve">Location</t>
  </si>
  <si>
    <t xml:space="preserve">Sale Price</t>
  </si>
  <si>
    <t xml:space="preserve">$/SF</t>
  </si>
  <si>
    <t xml:space="preserve">Overall Rate</t>
  </si>
  <si>
    <t xml:space="preserve">NOI $/SF</t>
  </si>
  <si>
    <t xml:space="preserve">ADJUSTMENT GRID</t>
  </si>
  <si>
    <t xml:space="preserve">Unadj. $/SF</t>
  </si>
  <si>
    <t xml:space="preserve">Market Adj.</t>
  </si>
  <si>
    <t xml:space="preserve">Adj. $/SF</t>
  </si>
  <si>
    <t xml:space="preserve">Comp GBA (SF)</t>
  </si>
  <si>
    <t xml:space="preserve">Size Adj.</t>
  </si>
  <si>
    <t xml:space="preserve">Location Adj.</t>
  </si>
  <si>
    <t xml:space="preserve">Net Adj.</t>
  </si>
  <si>
    <t xml:space="preserve">Indicated $/SF</t>
  </si>
  <si>
    <t xml:space="preserve">DEMOGRAPHICS (5-Mile Radius)</t>
  </si>
  <si>
    <t xml:space="preserve">Median Income</t>
  </si>
  <si>
    <t xml:space="preserve">Subject</t>
  </si>
  <si>
    <t xml:space="preserve">QUALITATIVE ANALYSIS</t>
  </si>
  <si>
    <t xml:space="preserve">Access</t>
  </si>
  <si>
    <t xml:space="preserve">Visibility</t>
  </si>
  <si>
    <t xml:space="preserve">Quality</t>
  </si>
  <si>
    <t xml:space="preserve">Condition</t>
  </si>
  <si>
    <t xml:space="preserve">Age</t>
  </si>
  <si>
    <t xml:space="preserve">LTB</t>
  </si>
  <si>
    <t xml:space="preserve">Utility</t>
  </si>
  <si>
    <t xml:space="preserve">Overall</t>
  </si>
  <si>
    <t xml:space="preserve">Similar</t>
  </si>
  <si>
    <t xml:space="preserve">Superior</t>
  </si>
  <si>
    <t xml:space="preserve">Inferior</t>
  </si>
  <si>
    <t xml:space="preserve">avg</t>
  </si>
  <si>
    <t xml:space="preserve">med</t>
  </si>
  <si>
    <t xml:space="preserve">SALES CONCLUSION</t>
  </si>
  <si>
    <t xml:space="preserve">Price per unit</t>
  </si>
  <si>
    <t xml:space="preserve">Property value</t>
  </si>
  <si>
    <t xml:space="preserve">COST APPROACH — DEPRECIATION ANALYSIS</t>
  </si>
  <si>
    <t xml:space="preserve">BUILDING REPRODUCTION COST (DIRECT COST)</t>
  </si>
  <si>
    <t xml:space="preserve">Item</t>
  </si>
  <si>
    <t xml:space="preserve">Value</t>
  </si>
  <si>
    <t xml:space="preserve">Units</t>
  </si>
  <si>
    <t xml:space="preserve">Notes</t>
  </si>
  <si>
    <t xml:space="preserve">Base Cost/SF (Marshall &amp; Swift)</t>
  </si>
  <si>
    <t xml:space="preserve">← Update per cost manual for current year</t>
  </si>
  <si>
    <t xml:space="preserve">SF</t>
  </si>
  <si>
    <t xml:space="preserve">Area Size Adjustment</t>
  </si>
  <si>
    <t xml:space="preserve">mult.</t>
  </si>
  <si>
    <t xml:space="preserve">Applied to base cost</t>
  </si>
  <si>
    <t xml:space="preserve">Time/Local Conditions Adjustment</t>
  </si>
  <si>
    <t xml:space="preserve">Adjust to current/local market</t>
  </si>
  <si>
    <t xml:space="preserve">Building Cost/SF (Adjusted)</t>
  </si>
  <si>
    <t xml:space="preserve">Total Reproduction Cost (Direct)</t>
  </si>
  <si>
    <t xml:space="preserve">$</t>
  </si>
  <si>
    <t xml:space="preserve">PHYSICAL DETERIORATION — SHORT-LIVED ITEMS</t>
  </si>
  <si>
    <t xml:space="preserve">Component</t>
  </si>
  <si>
    <t xml:space="preserve">Cost New</t>
  </si>
  <si>
    <t xml:space="preserve">Eff. Age (Yrs)</t>
  </si>
  <si>
    <t xml:space="preserve">Typical Life (Yrs)</t>
  </si>
  <si>
    <t xml:space="preserve">% Depr.</t>
  </si>
  <si>
    <t xml:space="preserve">Value of Depr.</t>
  </si>
  <si>
    <t xml:space="preserve">Floor Cover</t>
  </si>
  <si>
    <t xml:space="preserve">Roof Cover</t>
  </si>
  <si>
    <t xml:space="preserve">Interior Fin.</t>
  </si>
  <si>
    <t xml:space="preserve">TOTAL SHORT-LIVED ITEMS</t>
  </si>
  <si>
    <t xml:space="preserve">SITE IMPROVEMENTS (DEPRECIATED SEPARATELY)</t>
  </si>
  <si>
    <t xml:space="preserve">Landscaping / Retaining Wall</t>
  </si>
  <si>
    <t xml:space="preserve">Signage / Lighting</t>
  </si>
  <si>
    <t xml:space="preserve">Paving / Curbing</t>
  </si>
  <si>
    <t xml:space="preserve">Site Work / Utilities</t>
  </si>
  <si>
    <t xml:space="preserve">TOTAL SITE IMPROVEMENTS</t>
  </si>
  <si>
    <t xml:space="preserve">PHYSICAL DETERIORATION — LONG-LIVED ITEMS (AGE-LIFE METHOD)</t>
  </si>
  <si>
    <t xml:space="preserve">Less: Short-Lived Items (Cost New)</t>
  </si>
  <si>
    <t xml:space="preserve">Long-Lived Items Cost</t>
  </si>
  <si>
    <t xml:space="preserve">Effective Age (years)</t>
  </si>
  <si>
    <t xml:space="preserve">← Appraiser judgment</t>
  </si>
  <si>
    <t xml:space="preserve">Total Economic Life (years)</t>
  </si>
  <si>
    <t xml:space="preserve">Depreciation Rate (EA / EL)</t>
  </si>
  <si>
    <t xml:space="preserve">Long-Lived Depreciation</t>
  </si>
  <si>
    <t xml:space="preserve">COST APPROACH — VALUE SUMMARY</t>
  </si>
  <si>
    <t xml:space="preserve">Values reference cost_approach and land_sales tabs. Change inputs there.</t>
  </si>
  <si>
    <t xml:space="preserve">Amount</t>
  </si>
  <si>
    <t xml:space="preserve">LAND VALUE</t>
  </si>
  <si>
    <t xml:space="preserve">Concluded Land Value (from land_sales tab)</t>
  </si>
  <si>
    <t xml:space="preserve">IMPROVEMENTS — REPRODUCTION COST</t>
  </si>
  <si>
    <t xml:space="preserve">LESS: DEPRECIATION</t>
  </si>
  <si>
    <t xml:space="preserve">      Physical — Curable (Deferred Maintenance)</t>
  </si>
  <si>
    <t xml:space="preserve">      Physical — Incurable (Short-Lived Items)</t>
  </si>
  <si>
    <t xml:space="preserve">      Physical — Incurable (Long-Lived Items)</t>
  </si>
  <si>
    <t xml:space="preserve">      Functional Obsolescence</t>
  </si>
  <si>
    <t xml:space="preserve">      External Obsolescence</t>
  </si>
  <si>
    <t xml:space="preserve">Total Depreciation</t>
  </si>
  <si>
    <t xml:space="preserve">Depreciated Building Cost</t>
  </si>
  <si>
    <t xml:space="preserve">SITE IMPROVEMENTS</t>
  </si>
  <si>
    <t xml:space="preserve">Site Improvements (Cost New)</t>
  </si>
  <si>
    <t xml:space="preserve">Less: Depreciation of Site Improvements</t>
  </si>
  <si>
    <t xml:space="preserve">Depreciated Site Improvements</t>
  </si>
  <si>
    <t xml:space="preserve">INDICATED VALUE VIA COST APPROACH</t>
  </si>
  <si>
    <t xml:space="preserve">Land Value</t>
  </si>
  <si>
    <t xml:space="preserve">Total Indicated Value</t>
  </si>
  <si>
    <t xml:space="preserve">Rounded Value Indication (Cost Approach)</t>
  </si>
  <si>
    <t xml:space="preserve">NOI ADJUSTMENT — COMPARABLE SALES</t>
  </si>
  <si>
    <t xml:space="preserve">Sale ($/SF)</t>
  </si>
  <si>
    <t xml:space="preserve">NOI/SF (Comp)</t>
  </si>
  <si>
    <t xml:space="preserve">NOI/SF (Subject)</t>
  </si>
  <si>
    <t xml:space="preserve">NOI Adj. Factor</t>
  </si>
  <si>
    <t xml:space="preserve">Adj. Indicated ($/SF)</t>
  </si>
  <si>
    <t xml:space="preserve">Note: N/A = comp lacks reliable income data.</t>
  </si>
  <si>
    <t xml:space="preserve">Comparable Sales (Implied Cap Rates)</t>
  </si>
  <si>
    <t xml:space="preserve">Sale</t>
  </si>
  <si>
    <t xml:space="preserve">Implied Rate</t>
  </si>
  <si>
    <t xml:space="preserve">Indicated:</t>
  </si>
  <si>
    <t xml:space="preserve">POTENTIAL GROSS INCOME — MARKET RENT CALCULATION</t>
  </si>
  <si>
    <t xml:space="preserve">PGI = Total GBA at market rent (stabilized leased fee basis). Actual collections shown for reference only.</t>
  </si>
  <si>
    <t xml:space="preserve">Market Rent Assumption ($/SF):</t>
  </si>
  <si>
    <t xml:space="preserve">← Update this cell to recalculate PGI</t>
  </si>
  <si>
    <t xml:space="preserve">Unit</t>
  </si>
  <si>
    <t xml:space="preserve">Tenant</t>
  </si>
  <si>
    <t xml:space="preserve">Size (SF)</t>
  </si>
  <si>
    <t xml:space="preserve">Mkt Rate ($/SF)</t>
  </si>
  <si>
    <t xml:space="preserve">Mkt PGI (Annual)</t>
  </si>
  <si>
    <t xml:space="preserve">Actual Rate</t>
  </si>
  <si>
    <t xml:space="preserve">Actual Annual</t>
  </si>
  <si>
    <t xml:space="preserve">TOTALS</t>
  </si>
  <si>
    <t xml:space="preserve">CONCLUDED PGI (feeds Income Summary):</t>
  </si>
  <si>
    <t xml:space="preserve">Change market rent in D5 → PGI updates → income_summary!D5 updates → NOI/Value update automatically.</t>
  </si>
  <si>
    <t xml:space="preserve">LEASE COMPARABLE ANALYSIS</t>
  </si>
  <si>
    <t xml:space="preserve">Comp No.</t>
  </si>
  <si>
    <t xml:space="preserve">Rate ($/SF)</t>
  </si>
  <si>
    <t xml:space="preserve">Lease Type</t>
  </si>
  <si>
    <t xml:space="preserve">Begin</t>
  </si>
  <si>
    <t xml:space="preserve">End</t>
  </si>
  <si>
    <t xml:space="preserve">MEAN</t>
  </si>
  <si>
    <t xml:space="preserve">LEASE RATE SUMMARY ($/SF)</t>
  </si>
  <si>
    <t xml:space="preserve">Metric</t>
  </si>
  <si>
    <t xml:space="preserve">Triple-Net</t>
  </si>
  <si>
    <t xml:space="preserve">Full Service</t>
  </si>
  <si>
    <t xml:space="preserve">Low</t>
  </si>
  <si>
    <t xml:space="preserve">Median</t>
  </si>
  <si>
    <t xml:space="preserve">High</t>
  </si>
  <si>
    <t xml:space="preserve">Mean</t>
  </si>
  <si>
    <t xml:space="preserve">Count</t>
  </si>
  <si>
    <t xml:space="preserve">LEASE SIZE SUMMARY (SF)</t>
  </si>
  <si>
    <t xml:space="preserve">LEASE COMPARABLE — QUALITATIVE ANALYSIS</t>
  </si>
  <si>
    <t xml:space="preserve">Size</t>
  </si>
  <si>
    <t xml:space="preserve">Lease Terms</t>
  </si>
  <si>
    <t xml:space="preserve">MARKET RENT CONCLUSION</t>
  </si>
  <si>
    <t xml:space="preserve">Range of Comparable Rates:</t>
  </si>
  <si>
    <t xml:space="preserve">Most Comparable Comps </t>
  </si>
  <si>
    <t xml:space="preserve">Size Adjustment:</t>
  </si>
  <si>
    <t xml:space="preserve">Concluded Market Rent:</t>
  </si>
  <si>
    <t xml:space="preserve">Color Key:</t>
  </si>
  <si>
    <t xml:space="preserve">SUBJECT PROPERTY — RENT ROLL</t>
  </si>
  <si>
    <t xml:space="preserve">Monthly Rent</t>
  </si>
  <si>
    <t xml:space="preserve">Annual Rent</t>
  </si>
  <si>
    <t xml:space="preserve">Lease Start</t>
  </si>
  <si>
    <t xml:space="preserve">Lease End</t>
  </si>
  <si>
    <t xml:space="preserve">TOTALS / AVERAGES</t>
  </si>
  <si>
    <t xml:space="preserve">Occupied Only</t>
  </si>
  <si>
    <t xml:space="preserve">OPERATING EXPENSE COMPARISON</t>
  </si>
  <si>
    <t xml:space="preserve">Benchmarks from CoStar/BOMA survey data. Subject estimates derived from market benchmarks and appraiser judgment. Values feed Income Summary.</t>
  </si>
  <si>
    <t xml:space="preserve">Expense Category</t>
  </si>
  <si>
    <t xml:space="preserve">Demo North
$/SF</t>
  </si>
  <si>
    <t xml:space="preserve">Demo North
Subj. Estimate</t>
  </si>
  <si>
    <t xml:space="preserve">Test Metro Mkt
$/SF</t>
  </si>
  <si>
    <t xml:space="preserve">Test Metro Mkt
Subj. Estimate</t>
  </si>
  <si>
    <t xml:space="preserve">Subject
Concluded $/SF</t>
  </si>
  <si>
    <t xml:space="preserve">Subject
Concluded Annual</t>
  </si>
  <si>
    <t xml:space="preserve">Management</t>
  </si>
  <si>
    <t xml:space="preserve">% of EGI</t>
  </si>
  <si>
    <t xml:space="preserve">(formula-driven in Income Summary)</t>
  </si>
  <si>
    <t xml:space="preserve">Ad Valorem Taxes</t>
  </si>
  <si>
    <t xml:space="preserve">Insurance</t>
  </si>
  <si>
    <t xml:space="preserve">Utilities</t>
  </si>
  <si>
    <t xml:space="preserve">Maintenance &amp; Repairs</t>
  </si>
  <si>
    <t xml:space="preserve">Reserves for Replacement</t>
  </si>
  <si>
    <t xml:space="preserve">Professional Fees &amp; Misc.</t>
  </si>
  <si>
    <t xml:space="preserve">Note: Management excluded from totals (percentage-based in Income Summary). Blue cells are editable inputs — update Subject Concluded Annual to adjust expense assumptions.</t>
  </si>
  <si>
    <t xml:space="preserve">INCOME APPROACH — DIRECT CAPITALIZATION</t>
  </si>
  <si>
    <t xml:space="preserve">Income / Expense Item</t>
  </si>
  <si>
    <t xml:space="preserve">Rate / Basis</t>
  </si>
  <si>
    <t xml:space="preserve">Income</t>
  </si>
  <si>
    <t xml:space="preserve">Potential Gross Income</t>
  </si>
  <si>
    <t xml:space="preserve">Expense Reimbursements</t>
  </si>
  <si>
    <t xml:space="preserve">Less: Vacancy &amp; Credit Loss</t>
  </si>
  <si>
    <t xml:space="preserve">Effective Gross Income</t>
  </si>
  <si>
    <t xml:space="preserve">Operating Expenses</t>
  </si>
  <si>
    <t xml:space="preserve">    Management</t>
  </si>
  <si>
    <t xml:space="preserve">    Ad Valorem Taxes</t>
  </si>
  <si>
    <t xml:space="preserve">    Insurance</t>
  </si>
  <si>
    <t xml:space="preserve">    Utilities</t>
  </si>
  <si>
    <t xml:space="preserve">    Maintenance &amp; Repairs</t>
  </si>
  <si>
    <t xml:space="preserve">    Reserves for Replacement</t>
  </si>
  <si>
    <t xml:space="preserve">    Professional Fees &amp; Misc.</t>
  </si>
  <si>
    <t xml:space="preserve">Total Operating Expenses</t>
  </si>
  <si>
    <t xml:space="preserve">Net Operating Income</t>
  </si>
  <si>
    <t xml:space="preserve">Capitalization Rate Applied</t>
  </si>
  <si>
    <t xml:space="preserve">Indicated Value by Income Approach</t>
  </si>
  <si>
    <t xml:space="preserve">Rounded Value Indication</t>
  </si>
  <si>
    <t xml:space="preserve">Note: PGI = market-derived (not actual collections). Actual collections: see subject_units tab.</t>
  </si>
  <si>
    <t xml:space="preserve">OUTPUTS — SALES COMPARISON APPROACH</t>
  </si>
  <si>
    <t xml:space="preserve">Placeholder</t>
  </si>
  <si>
    <t xml:space="preserve">Raw Value</t>
  </si>
  <si>
    <t xml:space="preserve">Report Format (→ Word)</t>
  </si>
  <si>
    <t xml:space="preserve">Summary Statistics</t>
  </si>
  <si>
    <t xml:space="preserve">SCA_COMP_UNIT_LOW</t>
  </si>
  <si>
    <t xml:space="preserve">Unadj. low $/SF</t>
  </si>
  <si>
    <t xml:space="preserve">SCA_COMP_UNIT_HIGH</t>
  </si>
  <si>
    <t xml:space="preserve">Unadj. high $/SF</t>
  </si>
  <si>
    <t xml:space="preserve">SCA_COMP_UNIT_MEDIAN</t>
  </si>
  <si>
    <t xml:space="preserve">Unadj. median $/SF</t>
  </si>
  <si>
    <t xml:space="preserve">SCA_ADJ_UNIT_LOW</t>
  </si>
  <si>
    <t xml:space="preserve">Indicated low $/SF (adj.)</t>
  </si>
  <si>
    <t xml:space="preserve">SCA_ADJ_UNIT_HIGH</t>
  </si>
  <si>
    <t xml:space="preserve">Indicated high $/SF (adj.)</t>
  </si>
  <si>
    <t xml:space="preserve">SCA_ADJ_UNIT_MEDIAN</t>
  </si>
  <si>
    <t xml:space="preserve">Indicated median $/SF (adj.)</t>
  </si>
  <si>
    <t xml:space="preserve">Report Placeholders</t>
  </si>
  <si>
    <t xml:space="preserve">SCA_CONCLUDED_PSF</t>
  </si>
  <si>
    <t xml:space="preserve">Concluded $/SF → multiply by subject GBA</t>
  </si>
  <si>
    <t xml:space="preserve">← Round to nearest $25,000 before reporting</t>
  </si>
  <si>
    <t xml:space="preserve">SCA_ADJ_UNIT_MEAN</t>
  </si>
  <si>
    <t xml:space="preserve">Adj. mean $/SF</t>
  </si>
  <si>
    <t xml:space="preserve">SCA_COMP_UNIT_MEAN</t>
  </si>
  <si>
    <t xml:space="preserve">Unadj. mean $/SF</t>
  </si>
  <si>
    <t xml:space="preserve">SCA_COMP_SIZE_LOW</t>
  </si>
  <si>
    <t xml:space="preserve">Comp size low SF</t>
  </si>
  <si>
    <t xml:space="preserve">SCA_COMP_SIZE_HIGH</t>
  </si>
  <si>
    <t xml:space="preserve">Comp size high SF</t>
  </si>
  <si>
    <t xml:space="preserve">SCA_COMP_SIZE_MEAN</t>
  </si>
  <si>
    <t xml:space="preserve">Comp size mean SF</t>
  </si>
  <si>
    <t xml:space="preserve">SCA_COMP_SIZE_MEDIAN</t>
  </si>
  <si>
    <t xml:space="preserve">Comp size median SF</t>
  </si>
  <si>
    <t xml:space="preserve">SCA_ADJ_NARROW_LOW</t>
  </si>
  <si>
    <t xml:space="preserve">Narrow range low — enter manually</t>
  </si>
  <si>
    <t xml:space="preserve">SCA_ADJ_NARROW_HIGH</t>
  </si>
  <si>
    <t xml:space="preserve">Narrow range high — enter manually</t>
  </si>
  <si>
    <t xml:space="preserve">SCA_ADJ_NARROW_MEAN</t>
  </si>
  <si>
    <t xml:space="preserve">Narrow range mean — enter manually</t>
  </si>
  <si>
    <t xml:space="preserve">SCA_ADJ_NARROW_MEDIAN</t>
  </si>
  <si>
    <t xml:space="preserve">Narrow range median — enter manually</t>
  </si>
  <si>
    <t xml:space="preserve">SCA_ADJ_RELEVANT_MEAN</t>
  </si>
  <si>
    <t xml:space="preserve">Most-relevant comps mean — enter manually</t>
  </si>
  <si>
    <t xml:space="preserve">SCA_ADJ_RELEVANT_MEDIAN</t>
  </si>
  <si>
    <t xml:space="preserve">Most-relevant comps median — enter manually</t>
  </si>
  <si>
    <t xml:space="preserve">SCA_QUAL_CONCLUSION</t>
  </si>
  <si>
    <t xml:space="preserve">Qualitative conclusion text — enter manually</t>
  </si>
  <si>
    <t xml:space="preserve">OUTPUTS — CAP RATE ANALYSIS</t>
  </si>
  <si>
    <t xml:space="preserve">Indicated Rate</t>
  </si>
  <si>
    <t xml:space="preserve">CAP_RATE_METHOD1</t>
  </si>
  <si>
    <t xml:space="preserve">Implied from comp sales</t>
  </si>
  <si>
    <t xml:space="preserve">Selected Rate (Report Placeholder)</t>
  </si>
  <si>
    <t xml:space="preserve">← Set cap rate in income_summary tab (C19)</t>
  </si>
  <si>
    <t xml:space="preserve">PER-COMP DATA — for comp page automation</t>
  </si>
  <si>
    <t xml:space="preserve">Python iterates these rows (one per comp). Add/remove rows as comps change.</t>
  </si>
  <si>
    <t xml:space="preserve">OUTPUTS — INCOME APPROACH</t>
  </si>
  <si>
    <t xml:space="preserve">Potential gross income</t>
  </si>
  <si>
    <t xml:space="preserve">PGI_MONTHLY</t>
  </si>
  <si>
    <t xml:space="preserve">PGI / 12</t>
  </si>
  <si>
    <t xml:space="preserve">Effective gross income</t>
  </si>
  <si>
    <t xml:space="preserve">VACANCY_RATE</t>
  </si>
  <si>
    <t xml:space="preserve">Applied vacancy rate</t>
  </si>
  <si>
    <t xml:space="preserve">Net operating income</t>
  </si>
  <si>
    <t xml:space="preserve">IA_CAP_RATE</t>
  </si>
  <si>
    <t xml:space="preserve">Applied cap rate</t>
  </si>
  <si>
    <t xml:space="preserve">LOAN_RATE</t>
  </si>
  <si>
    <t xml:space="preserve">Income approach value</t>
  </si>
  <si>
    <t xml:space="preserve">TOTAL_EXPENSES</t>
  </si>
  <si>
    <t xml:space="preserve">Total operating expenses</t>
  </si>
  <si>
    <t xml:space="preserve">OUTPUTS — MARKET RENT / INCOME INPUTS</t>
  </si>
  <si>
    <t xml:space="preserve">MARKET_RENT</t>
  </si>
  <si>
    <t xml:space="preserve">Market rent assumption (from pgi_calc tab)</t>
  </si>
  <si>
    <t xml:space="preserve">Market rent $/SF (numeric format)</t>
  </si>
  <si>
    <t xml:space="preserve">OUTPUTS — COST APPROACH</t>
  </si>
  <si>
    <t xml:space="preserve">LAND_VALUE_CONCLUDED</t>
  </si>
  <si>
    <t xml:space="preserve">Land value concluded</t>
  </si>
  <si>
    <t xml:space="preserve">CA_VALUE</t>
  </si>
  <si>
    <t xml:space="preserve">Cost approach rounded value</t>
  </si>
  <si>
    <t xml:space="preserve">COST_APPROACH_VALUE_ROUNDED</t>
  </si>
  <si>
    <t xml:space="preserve">DEPRECIATED_BLDG_COST</t>
  </si>
  <si>
    <t xml:space="preserve">Depr. building cost</t>
  </si>
  <si>
    <t xml:space="preserve">DEPRECIATED_SITE_IMP</t>
  </si>
  <si>
    <t xml:space="preserve">Depr. site improvements</t>
  </si>
  <si>
    <t xml:space="preserve">SITE_IMP_COST_NEW</t>
  </si>
  <si>
    <t xml:space="preserve">Site improvements cost new</t>
  </si>
  <si>
    <t xml:space="preserve">SHORT_LIVED_DEPRECIATION_TOTAL</t>
  </si>
  <si>
    <t xml:space="preserve">Short-lived items total depr.</t>
  </si>
  <si>
    <t xml:space="preserve">SITE_IMPROVEMENT_DEPRECIATION_TOTAL</t>
  </si>
  <si>
    <t xml:space="preserve">Site imp. total depr.</t>
  </si>
  <si>
    <t xml:space="preserve">DEVELOPER_PROFIT_RATE</t>
  </si>
  <si>
    <t xml:space="preserve">DEVELOPER_PROFIT_AMOUNT</t>
  </si>
  <si>
    <t xml:space="preserve">RCN_PSF</t>
  </si>
  <si>
    <t xml:space="preserve">Reproduction cost/SF</t>
  </si>
  <si>
    <t xml:space="preserve">MARSHALL_SECTION_REF</t>
  </si>
  <si>
    <t xml:space="preserve">Marshall section reference — enter manually</t>
  </si>
  <si>
    <t xml:space="preserve">MARSHALL_SECTION_DESC</t>
  </si>
  <si>
    <t xml:space="preserve">Marshall section description — enter manually</t>
  </si>
  <si>
    <t xml:space="preserve">MARSHALL_BASE_COST</t>
  </si>
  <si>
    <t xml:space="preserve">Marshall base cost/SF — enter manually</t>
  </si>
  <si>
    <t xml:space="preserve">MARSHALL_LOCAL_ADJ</t>
  </si>
  <si>
    <t xml:space="preserve">Local adj. multiplier</t>
  </si>
  <si>
    <t xml:space="preserve">MARSHALL_AREA_ADJ</t>
  </si>
  <si>
    <t xml:space="preserve">Area adj. multiplier</t>
  </si>
  <si>
    <t xml:space="preserve">MARSHALL_CURRENT_ADJ</t>
  </si>
  <si>
    <t xml:space="preserve">Current conditions multiplier</t>
  </si>
  <si>
    <t xml:space="preserve">RCN_TOTAL</t>
  </si>
  <si>
    <t xml:space="preserve">Total reproduction cost</t>
  </si>
  <si>
    <t xml:space="preserve">OUTPUTS — LAND SALES COMPARISON (formula-driven)</t>
  </si>
  <si>
    <t xml:space="preserve">Concluded land value</t>
  </si>
  <si>
    <t xml:space="preserve">LAND_SALE_LOW_UNIT</t>
  </si>
  <si>
    <t xml:space="preserve">Unadj. low $/SF land comps</t>
  </si>
  <si>
    <t xml:space="preserve">LAND_SALE_HIGH_UNIT</t>
  </si>
  <si>
    <t xml:space="preserve">Unadj. high $/SF land comps</t>
  </si>
  <si>
    <t xml:space="preserve">LAND_SALE_MEAN_UNIT</t>
  </si>
  <si>
    <t xml:space="preserve">Unadj. mean $/SF land comps</t>
  </si>
  <si>
    <t xml:space="preserve">LAND_ADJ_UNIT_LOW</t>
  </si>
  <si>
    <t xml:space="preserve">Adj. low $/SF land comps</t>
  </si>
  <si>
    <t xml:space="preserve">LAND_ADJ_UNIT_HIGH</t>
  </si>
  <si>
    <t xml:space="preserve">Adj. high $/SF land comps</t>
  </si>
  <si>
    <t xml:space="preserve">LAND_ADJ_UNIT_MEAN</t>
  </si>
  <si>
    <t xml:space="preserve">Adj. mean $/SF land comps</t>
  </si>
  <si>
    <t xml:space="preserve">LAND_ADJ_UNIT_MEDIAN</t>
  </si>
  <si>
    <t xml:space="preserve">Adj. median $/SF land comps</t>
  </si>
  <si>
    <t xml:space="preserve">LAND_COMP_SIZE_LOW</t>
  </si>
  <si>
    <t xml:space="preserve">Land comp size low SF</t>
  </si>
  <si>
    <t xml:space="preserve">LAND_COMP_SIZE_HIGH</t>
  </si>
  <si>
    <t xml:space="preserve">Land comp size high SF</t>
  </si>
  <si>
    <t xml:space="preserve">LAND_COMP_SIZE_MEAN</t>
  </si>
  <si>
    <t xml:space="preserve">Land comp size mean SF</t>
  </si>
  <si>
    <t xml:space="preserve">LAND_COMP_SIZE_MEDIAN</t>
  </si>
  <si>
    <t xml:space="preserve">Land comp size median SF</t>
  </si>
  <si>
    <t xml:space="preserve">OUTPUTS — LAND CONCLUSION (Appraiser Input)</t>
  </si>
  <si>
    <t xml:space="preserve">LAND_UNIT_OF_COMPARISON</t>
  </si>
  <si>
    <t xml:space="preserve">SF or AC — enter manually</t>
  </si>
  <si>
    <t xml:space="preserve">LAND_PRIMARY_SALES</t>
  </si>
  <si>
    <t xml:space="preserve">Number of primary sales used — enter manually</t>
  </si>
  <si>
    <t xml:space="preserve">LAND_ADJ_RELEVANT_MEAN</t>
  </si>
  <si>
    <t xml:space="preserve">Most relevant comps mean — enter manually</t>
  </si>
  <si>
    <t xml:space="preserve">LAND_ADJ_RELEVANT_MEDIAN</t>
  </si>
  <si>
    <t xml:space="preserve">Most relevant comps median — enter manually</t>
  </si>
  <si>
    <t xml:space="preserve">LAND_CONCLUDED_UNIT</t>
  </si>
  <si>
    <t xml:space="preserve">Concluded $/SF or $/AC — enter manually</t>
  </si>
  <si>
    <t xml:space="preserve">LAND_CONCLUDED_RANGE</t>
  </si>
  <si>
    <t xml:space="preserve">e.g. "$12.00 to $15.00 per SF" — enter manually</t>
  </si>
  <si>
    <t xml:space="preserve">OUTPUTS — RECONCILIATION FLAGS &amp; WEIGHTS</t>
  </si>
  <si>
    <t xml:space="preserve">Yes</t>
  </si>
  <si>
    <t xml:space="preserve">Yes or No</t>
  </si>
  <si>
    <t xml:space="preserve">SCA_DEVELOPED_FULL</t>
  </si>
  <si>
    <t xml:space="preserve">Reconciliation weight (e.g. 0.60)</t>
  </si>
  <si>
    <t xml:space="preserve">Reconciliation weight (e.g. 0.40)</t>
  </si>
  <si>
    <t xml:space="preserve">No</t>
  </si>
  <si>
    <t xml:space="preserve">CA_DEVELOPED_FULL</t>
  </si>
  <si>
    <t xml:space="preserve">Derived from CA_DEVELOPED</t>
  </si>
  <si>
    <t xml:space="preserve">Reconciliation weight (e.g. 0.00)</t>
  </si>
  <si>
    <t xml:space="preserve">VALUE CONCLUSION</t>
  </si>
  <si>
    <t xml:space="preserve">IA_DEVELOPED_FULL</t>
  </si>
  <si>
    <t xml:space="preserve">Derived from IA_DEVELOPED (C114)</t>
  </si>
  <si>
    <t xml:space="preserve">SCA*weight + IA*weight + CA*weight, rounded $25k</t>
  </si>
  <si>
    <t xml:space="preserve">e.g. 'one million four hundred thousand'</t>
  </si>
  <si>
    <t xml:space="preserve">e.g. 'One Million Four Hundred Thousand Dollars ($1,400,000)'</t>
  </si>
  <si>
    <t xml:space="preserve">DEVELOPED_APPROACHES</t>
  </si>
  <si>
    <t xml:space="preserve">Auto from flags</t>
  </si>
  <si>
    <t xml:space="preserve">APPROACHES_LIST</t>
  </si>
  <si>
    <t xml:space="preserve">Full sentence for use in reconciliation</t>
  </si>
  <si>
    <t xml:space="preserve">square foot</t>
  </si>
  <si>
    <t xml:space="preserve">e.g. 'square foot' or 'unit'</t>
  </si>
  <si>
    <t xml:space="preserve">INTAKE ALIASES</t>
  </si>
  <si>
    <t xml:space="preserve">SITE_AREA_SF</t>
  </si>
  <si>
    <t xml:space="preserve">SITE_AREA_ACRES</t>
  </si>
  <si>
    <t xml:space="preserve">LAND_AREA_ACRES</t>
  </si>
  <si>
    <t xml:space="preserve">UNIT_COUNT</t>
  </si>
  <si>
    <t xml:space="preserve">BUILDINGS_STORIES</t>
  </si>
  <si>
    <t xml:space="preserve">COMP_NO</t>
  </si>
  <si>
    <t xml:space="preserve">COMP_SUBMARKET</t>
  </si>
  <si>
    <t xml:space="preserve">COMP_ADDRESS_LINE1</t>
  </si>
  <si>
    <t xml:space="preserve">COMP_ADDRESS_LINE2</t>
  </si>
  <si>
    <t xml:space="preserve">COMP_PROPERTY_TYPE</t>
  </si>
  <si>
    <t xml:space="preserve">COMP_SALE_PRICE</t>
  </si>
  <si>
    <t xml:space="preserve">COMP_SALE_DATE</t>
  </si>
  <si>
    <t xml:space="preserve">COMP_GBA_SF</t>
  </si>
  <si>
    <t xml:space="preserve">COMP_PRICE_SF</t>
  </si>
  <si>
    <t xml:space="preserve">COMP_CAP_RATE</t>
  </si>
  <si>
    <t xml:space="preserve">COMP_YEAR_BUILT</t>
  </si>
  <si>
    <t xml:space="preserve">COMP_SITE_AREA</t>
  </si>
  <si>
    <t xml:space="preserve">COMP_STORIES</t>
  </si>
  <si>
    <t xml:space="preserve">COMP_CONSTRUCTION</t>
  </si>
  <si>
    <t xml:space="preserve">COMP_CONDITION</t>
  </si>
  <si>
    <t xml:space="preserve">COMP_ZONING</t>
  </si>
  <si>
    <t xml:space="preserve">COMP_TOPOGRAPHY</t>
  </si>
  <si>
    <t xml:space="preserve">COMP_SHAPE</t>
  </si>
  <si>
    <t xml:space="preserve">COMP_FLOOD_ZONE</t>
  </si>
  <si>
    <t xml:space="preserve">COMP_ACCESS</t>
  </si>
  <si>
    <t xml:space="preserve">COMP_VISIBILITY</t>
  </si>
  <si>
    <t xml:space="preserve">COMP_UTILITIES</t>
  </si>
  <si>
    <t xml:space="preserve">COMP_GRANTOR</t>
  </si>
  <si>
    <t xml:space="preserve">COMP_GRANTEE</t>
  </si>
  <si>
    <t xml:space="preserve">COMP_DEED_REF</t>
  </si>
  <si>
    <t xml:space="preserve">COMP_VERIFICATION</t>
  </si>
  <si>
    <t xml:space="preserve">COMP_NOI</t>
  </si>
  <si>
    <t xml:space="preserve">COMP_NOI_SF</t>
  </si>
  <si>
    <t xml:space="preserve">COMP_ANALYSIS</t>
  </si>
  <si>
    <t xml:space="preserve">COMP_RELEVANCE</t>
  </si>
  <si>
    <t xml:space="preserve">COMP_POPULATION</t>
  </si>
  <si>
    <t xml:space="preserve">COMP_HH_INCOME</t>
  </si>
  <si>
    <t xml:space="preserve">COMP_LIST_PRICE</t>
  </si>
  <si>
    <t xml:space="preserve">COMP_PCT_DISCOUNT</t>
  </si>
  <si>
    <t xml:space="preserve">COMP_TIME_ON_MARKET</t>
  </si>
  <si>
    <t xml:space="preserve">Sale No. N (e.g. Sale No. 1)</t>
  </si>
  <si>
    <t xml:space="preserve">Submarket name (e.g. Demo Hills)</t>
  </si>
  <si>
    <t xml:space="preserve">Property type label</t>
  </si>
  <si>
    <t xml:space="preserve">Sale price (e.g. $892,000)</t>
  </si>
  <si>
    <t xml:space="preserve">Sale date (e.g. 12/26/2025)</t>
  </si>
  <si>
    <t xml:space="preserve">GBA with SF (e.g. 9,780 SF)</t>
  </si>
  <si>
    <t xml:space="preserve">Price per SF (e.g. $91.26)</t>
  </si>
  <si>
    <t xml:space="preserve">Cap rate (e.g. 8.10% or N/A)</t>
  </si>
  <si>
    <t xml:space="preserve">Year built (e.g. 1988)</t>
  </si>
  <si>
    <t xml:space="preserve">Site area (e.g. ± 110,002 SF)</t>
  </si>
  <si>
    <t xml:space="preserve">Stories (e.g. One, Two)</t>
  </si>
  <si>
    <t xml:space="preserve">Construction type</t>
  </si>
  <si>
    <t xml:space="preserve">Condition (e.g. Average)</t>
  </si>
  <si>
    <t xml:space="preserve">Zoning (e.g. Office/Commercial)</t>
  </si>
  <si>
    <t xml:space="preserve">Topography (e.g. Level)</t>
  </si>
  <si>
    <t xml:space="preserve">Shape (e.g. Irregular)</t>
  </si>
  <si>
    <t xml:space="preserve">Flood zone (e.g. Zone X)</t>
  </si>
  <si>
    <t xml:space="preserve">Access (e.g. Average)</t>
  </si>
  <si>
    <t xml:space="preserve">Visibility (e.g. Average)</t>
  </si>
  <si>
    <t xml:space="preserve">Utilities (e.g. All Public)</t>
  </si>
  <si>
    <t xml:space="preserve">Grantor name</t>
  </si>
  <si>
    <t xml:space="preserve">Grantee name</t>
  </si>
  <si>
    <t xml:space="preserve">Deed reference number</t>
  </si>
  <si>
    <t xml:space="preserve">Verification source</t>
  </si>
  <si>
    <t xml:space="preserve">NOI (e.g. $72,293 or Not Available)</t>
  </si>
  <si>
    <t xml:space="preserve">NOI per SF (e.g. $7.39 or Not Available)</t>
  </si>
  <si>
    <t xml:space="preserve">Main analysis paragraph</t>
  </si>
  <si>
    <t xml:space="preserve">Relevance sentence</t>
  </si>
  <si>
    <t xml:space="preserve">Population (e.g. 132,176)</t>
  </si>
  <si>
    <t xml:space="preserve">Median HH income (e.g. $94,659)</t>
  </si>
  <si>
    <t xml:space="preserve">List price (e.g. $1,000,000)</t>
  </si>
  <si>
    <t xml:space="preserve">% discount from list (e.g. 11%)</t>
  </si>
  <si>
    <t xml:space="preserve">Time on market (e.g. 52 days)</t>
  </si>
  <si>
    <t xml:space="preserve">Sale No. 1</t>
  </si>
  <si>
    <t xml:space="preserve">Demo Hills</t>
  </si>
  <si>
    <t xml:space="preserve">200 Fictional Park Drive</t>
  </si>
  <si>
    <t xml:space="preserve">Demo Hills, Alabama 35001</t>
  </si>
  <si>
    <t xml:space="preserve">$1,800,000</t>
  </si>
  <si>
    <t xml:space="preserve">03/15/2025</t>
  </si>
  <si>
    <t xml:space="preserve">24,000 SF</t>
  </si>
  <si>
    <t xml:space="preserve">$75.00</t>
  </si>
  <si>
    <t xml:space="preserve">9.25%</t>
  </si>
  <si>
    <t xml:space="preserve">1985</t>
  </si>
  <si>
    <t xml:space="preserve">± 65,000 SF</t>
  </si>
  <si>
    <t xml:space="preserve">Two</t>
  </si>
  <si>
    <t xml:space="preserve">Brick and Steel</t>
  </si>
  <si>
    <t xml:space="preserve">Office/Commercial</t>
  </si>
  <si>
    <t xml:space="preserve">Level</t>
  </si>
  <si>
    <t xml:space="preserve">Rectangular</t>
  </si>
  <si>
    <t xml:space="preserve">Good</t>
  </si>
  <si>
    <t xml:space="preserve">All Public</t>
  </si>
  <si>
    <t xml:space="preserve">Example Seller One, LLC</t>
  </si>
  <si>
    <t xml:space="preserve">Sample Buyer One, LLC</t>
  </si>
  <si>
    <t xml:space="preserve">DEMO-DEED-001</t>
  </si>
  <si>
    <t xml:space="preserve">Fictional QA Fixture</t>
  </si>
  <si>
    <t xml:space="preserve">$166,500</t>
  </si>
  <si>
    <t xml:space="preserve">$6.94</t>
  </si>
  <si>
    <t xml:space="preserve">This fictional sale represents a similarly sized multi-tenant office property with average condition and comparable utility. Its reported price and income metrics exist solely to exercise automated comp-page generation.</t>
  </si>
  <si>
    <t xml:space="preserve">Useful fictional size and use comparison for software QA.</t>
  </si>
  <si>
    <t xml:space="preserve">125,000</t>
  </si>
  <si>
    <t xml:space="preserve">$82,000</t>
  </si>
  <si>
    <t xml:space="preserve">$1,950,000</t>
  </si>
  <si>
    <t xml:space="preserve">8%</t>
  </si>
  <si>
    <t xml:space="preserve">64 days</t>
  </si>
  <si>
    <t xml:space="preserve">Sale No. 2</t>
  </si>
  <si>
    <t xml:space="preserve">Example Heights</t>
  </si>
  <si>
    <t xml:space="preserve">425 Sample Center Boulevard</t>
  </si>
  <si>
    <t xml:space="preserve">Example Heights, Alabama 35002</t>
  </si>
  <si>
    <t xml:space="preserve">$1,550,000</t>
  </si>
  <si>
    <t xml:space="preserve">08/22/2024</t>
  </si>
  <si>
    <t xml:space="preserve">20,000 SF</t>
  </si>
  <si>
    <t xml:space="preserve">$77.50</t>
  </si>
  <si>
    <t xml:space="preserve">9.50%</t>
  </si>
  <si>
    <t xml:space="preserve">1978</t>
  </si>
  <si>
    <t xml:space="preserve">± 58,000 SF</t>
  </si>
  <si>
    <t xml:space="preserve">One</t>
  </si>
  <si>
    <t xml:space="preserve">Masonry</t>
  </si>
  <si>
    <t xml:space="preserve">Commercial</t>
  </si>
  <si>
    <t xml:space="preserve">Gently Sloping</t>
  </si>
  <si>
    <t xml:space="preserve">Example Seller Two, LLC</t>
  </si>
  <si>
    <t xml:space="preserve">Sample Buyer Two, LLC</t>
  </si>
  <si>
    <t xml:space="preserve">DEMO-DEED-002</t>
  </si>
  <si>
    <t xml:space="preserve">$147,250</t>
  </si>
  <si>
    <t xml:space="preserve">$7.36</t>
  </si>
  <si>
    <t xml:space="preserve">This fictional sale is slightly smaller than the subject and reflects an older single-story office configuration. The record is synthetic and is not market evidence.</t>
  </si>
  <si>
    <t xml:space="preserve">Useful fictional age and location comparison for software QA.</t>
  </si>
  <si>
    <t xml:space="preserve">98,000</t>
  </si>
  <si>
    <t xml:space="preserve">$76,500</t>
  </si>
  <si>
    <t xml:space="preserve">$1,700,000</t>
  </si>
  <si>
    <t xml:space="preserve">9%</t>
  </si>
  <si>
    <t xml:space="preserve">91 days</t>
  </si>
  <si>
    <t xml:space="preserve">Sale No. 3</t>
  </si>
  <si>
    <t xml:space="preserve">Test Metro</t>
  </si>
  <si>
    <t xml:space="preserve">750 Demonstration Office Lane</t>
  </si>
  <si>
    <t xml:space="preserve">Test Metro, Alabama 35003</t>
  </si>
  <si>
    <t xml:space="preserve">$2,100,000</t>
  </si>
  <si>
    <t xml:space="preserve">11/07/2024</t>
  </si>
  <si>
    <t xml:space="preserve">27,000 SF</t>
  </si>
  <si>
    <t xml:space="preserve">$77.78</t>
  </si>
  <si>
    <t xml:space="preserve">9.00%</t>
  </si>
  <si>
    <t xml:space="preserve">1992</t>
  </si>
  <si>
    <t xml:space="preserve">± 72,000 SF</t>
  </si>
  <si>
    <t xml:space="preserve">Brick Veneer</t>
  </si>
  <si>
    <t xml:space="preserve">Example Seller Three, LLC</t>
  </si>
  <si>
    <t xml:space="preserve">Sample Buyer Three, LLC</t>
  </si>
  <si>
    <t xml:space="preserve">DEMO-DEED-003</t>
  </si>
  <si>
    <t xml:space="preserve">$189,000</t>
  </si>
  <si>
    <t xml:space="preserve">$7.00</t>
  </si>
  <si>
    <t xml:space="preserve">This fictional sale is larger and newer than the subject, with a good-condition office profile. All facts are invented for repeatable pipeline testing.</t>
  </si>
  <si>
    <t xml:space="preserve">Useful fictional condition and size comparison for software QA.</t>
  </si>
  <si>
    <t xml:space="preserve">142,000</t>
  </si>
  <si>
    <t xml:space="preserve">$88,000</t>
  </si>
  <si>
    <t xml:space="preserve">$2,250,000</t>
  </si>
  <si>
    <t xml:space="preserve">7%</t>
  </si>
  <si>
    <t xml:space="preserve">48 days</t>
  </si>
  <si>
    <t xml:space="preserve">Sale No. 4</t>
  </si>
  <si>
    <t xml:space="preserve">Sale No. 5</t>
  </si>
  <si>
    <t xml:space="preserve">Sale No. 6</t>
  </si>
  <si>
    <t xml:space="preserve">Sale No. 7</t>
  </si>
  <si>
    <t xml:space="preserve">Dilmore Size Adjustment Table  —  Size Factor (A_c / A_s)</t>
  </si>
  <si>
    <t xml:space="preserve">A_c = Comparable GBA  |  A_s = Subject GBA  |  Factor = 1.00 means no size adjustment</t>
  </si>
  <si>
    <t xml:space="preserve">A_c / A_s</t>
  </si>
  <si>
    <t xml:space="preserve">80% Curve</t>
  </si>
  <si>
    <t xml:space="preserve">82.5% Curve</t>
  </si>
  <si>
    <t xml:space="preserve">85% Curve</t>
  </si>
  <si>
    <t xml:space="preserve">87.5% Curve</t>
  </si>
  <si>
    <t xml:space="preserve">90% Curve</t>
  </si>
  <si>
    <t xml:space="preserve">Adj % (85%)</t>
  </si>
  <si>
    <t xml:space="preserve">-66.0%</t>
  </si>
  <si>
    <t xml:space="preserve">-60.0%</t>
  </si>
  <si>
    <t xml:space="preserve">-56.0%</t>
  </si>
  <si>
    <t xml:space="preserve">-53.0%</t>
  </si>
  <si>
    <t xml:space="preserve">-51.0%</t>
  </si>
  <si>
    <t xml:space="preserve">-48.0%</t>
  </si>
  <si>
    <t xml:space="preserve">-46.0%</t>
  </si>
  <si>
    <t xml:space="preserve">-45.0%</t>
  </si>
  <si>
    <t xml:space="preserve">-43.0%</t>
  </si>
  <si>
    <t xml:space="preserve">-42.0%</t>
  </si>
  <si>
    <t xml:space="preserve">-40.0%</t>
  </si>
  <si>
    <t xml:space="preserve">-39.0%</t>
  </si>
  <si>
    <t xml:space="preserve">-38.0%</t>
  </si>
  <si>
    <t xml:space="preserve">-37.0%</t>
  </si>
  <si>
    <t xml:space="preserve">-36.0%</t>
  </si>
  <si>
    <t xml:space="preserve">-35.0%</t>
  </si>
  <si>
    <t xml:space="preserve">-34.0%</t>
  </si>
  <si>
    <t xml:space="preserve">-33.0%</t>
  </si>
  <si>
    <t xml:space="preserve">-32.0%</t>
  </si>
  <si>
    <t xml:space="preserve">-31.0%</t>
  </si>
  <si>
    <t xml:space="preserve">-28.0%</t>
  </si>
  <si>
    <t xml:space="preserve">-25.0%</t>
  </si>
  <si>
    <t xml:space="preserve">-22.0%</t>
  </si>
  <si>
    <t xml:space="preserve">-19.0%</t>
  </si>
  <si>
    <t xml:space="preserve">-17.0%</t>
  </si>
  <si>
    <t xml:space="preserve">-15.0%</t>
  </si>
  <si>
    <t xml:space="preserve">-13.0%</t>
  </si>
  <si>
    <t xml:space="preserve">-11.0%</t>
  </si>
  <si>
    <t xml:space="preserve">-10.0%</t>
  </si>
  <si>
    <t xml:space="preserve">-8.0%</t>
  </si>
  <si>
    <t xml:space="preserve">-7.0%</t>
  </si>
  <si>
    <t xml:space="preserve">-5.0%</t>
  </si>
  <si>
    <t xml:space="preserve">-4.0%</t>
  </si>
  <si>
    <t xml:space="preserve">-2.0%</t>
  </si>
  <si>
    <t xml:space="preserve">-1.0%</t>
  </si>
  <si>
    <t xml:space="preserve">+0.0%</t>
  </si>
  <si>
    <t xml:space="preserve">+2.0%</t>
  </si>
  <si>
    <t xml:space="preserve">+4.0%</t>
  </si>
  <si>
    <t xml:space="preserve">+6.0%</t>
  </si>
  <si>
    <t xml:space="preserve">+8.0%</t>
  </si>
  <si>
    <t xml:space="preserve">+10.0%</t>
  </si>
  <si>
    <t xml:space="preserve">+12.0%</t>
  </si>
  <si>
    <t xml:space="preserve">+13.0%</t>
  </si>
  <si>
    <t xml:space="preserve">+15.0%</t>
  </si>
  <si>
    <t xml:space="preserve">+16.0%</t>
  </si>
  <si>
    <t xml:space="preserve">+18.0%</t>
  </si>
  <si>
    <t xml:space="preserve">+19.0%</t>
  </si>
  <si>
    <t xml:space="preserve">+20.0%</t>
  </si>
  <si>
    <t xml:space="preserve">+22.0%</t>
  </si>
  <si>
    <t xml:space="preserve">+23.0%</t>
  </si>
  <si>
    <t xml:space="preserve">+24.0%</t>
  </si>
  <si>
    <t xml:space="preserve">+25.0%</t>
  </si>
  <si>
    <t xml:space="preserve">+26.0%</t>
  </si>
  <si>
    <t xml:space="preserve">+27.0%</t>
  </si>
  <si>
    <t xml:space="preserve">+28.0%</t>
  </si>
  <si>
    <t xml:space="preserve">+29.0%</t>
  </si>
  <si>
    <t xml:space="preserve">+30.0%</t>
  </si>
  <si>
    <t xml:space="preserve">+31.0%</t>
  </si>
  <si>
    <t xml:space="preserve">+32.0%</t>
  </si>
  <si>
    <t xml:space="preserve">+33.0%</t>
  </si>
  <si>
    <t xml:space="preserve">+34.0%</t>
  </si>
  <si>
    <t xml:space="preserve">+35.0%</t>
  </si>
  <si>
    <t xml:space="preserve">+36.0%</t>
  </si>
  <si>
    <t xml:space="preserve">+37.0%</t>
  </si>
  <si>
    <t xml:space="preserve">+38.0%</t>
  </si>
  <si>
    <t xml:space="preserve">+39.0%</t>
  </si>
  <si>
    <t xml:space="preserve">+40.0%</t>
  </si>
  <si>
    <t xml:space="preserve">+41.0%</t>
  </si>
  <si>
    <t xml:space="preserve">+42.0%</t>
  </si>
  <si>
    <t xml:space="preserve">+43.0%</t>
  </si>
  <si>
    <t xml:space="preserve">+44.0%</t>
  </si>
  <si>
    <t xml:space="preserve">+45.0%</t>
  </si>
  <si>
    <t xml:space="preserve">+46.0%</t>
  </si>
  <si>
    <t xml:space="preserve">+49.0%</t>
  </si>
  <si>
    <t xml:space="preserve">+52.0%</t>
  </si>
  <si>
    <t xml:space="preserve">+55.0%</t>
  </si>
  <si>
    <t xml:space="preserve">+58.0%</t>
  </si>
  <si>
    <t xml:space="preserve">+61.0%</t>
  </si>
  <si>
    <t xml:space="preserve">+63.0%</t>
  </si>
  <si>
    <t xml:space="preserve">+65.0%</t>
  </si>
  <si>
    <t xml:space="preserve">+68.0%</t>
  </si>
  <si>
    <t xml:space="preserve">+70.0%</t>
  </si>
  <si>
    <t xml:space="preserve">+72.0%</t>
  </si>
  <si>
    <t xml:space="preserve">+76.0%</t>
  </si>
  <si>
    <t xml:space="preserve">+79.0%</t>
  </si>
  <si>
    <t xml:space="preserve">+83.0%</t>
  </si>
  <si>
    <t xml:space="preserve">+86.0%</t>
  </si>
  <si>
    <t xml:space="preserve">+89.0%</t>
  </si>
  <si>
    <t xml:space="preserve">+92.0%</t>
  </si>
  <si>
    <t xml:space="preserve">+95.0%</t>
  </si>
  <si>
    <t xml:space="preserve">+97.0%</t>
  </si>
  <si>
    <t xml:space="preserve">+100.0%</t>
  </si>
  <si>
    <t xml:space="preserve">+102.0%</t>
  </si>
  <si>
    <t xml:space="preserve">+113.0%</t>
  </si>
  <si>
    <t xml:space="preserve">+122.0%</t>
  </si>
  <si>
    <t xml:space="preserve">+131.0%</t>
  </si>
  <si>
    <t xml:space="preserve">+138.0%</t>
  </si>
  <si>
    <t xml:space="preserve">+145.0%</t>
  </si>
  <si>
    <t xml:space="preserve">+151.0%</t>
  </si>
  <si>
    <t xml:space="preserve">+156.0%</t>
  </si>
  <si>
    <t xml:space="preserve">+162.0%</t>
  </si>
  <si>
    <t xml:space="preserve">+167.0%</t>
  </si>
  <si>
    <t xml:space="preserve">+171.0%</t>
  </si>
  <si>
    <t xml:space="preserve">+176.0%</t>
  </si>
  <si>
    <t xml:space="preserve">+180.0%</t>
  </si>
  <si>
    <t xml:space="preserve">+184.0%</t>
  </si>
  <si>
    <t xml:space="preserve">+188.0%</t>
  </si>
  <si>
    <t xml:space="preserve">+192.0%</t>
  </si>
  <si>
    <t xml:space="preserve">+195.0%</t>
  </si>
  <si>
    <t xml:space="preserve">Sales Comparison Adjustment Grid — Dilmore Method</t>
  </si>
  <si>
    <t xml:space="preserve">Elasticity Curve:</t>
  </si>
  <si>
    <t xml:space="preserve">Subject GBA (SF):</t>
  </si>
  <si>
    <t xml:space="preserve">Comp</t>
  </si>
  <si>
    <t xml:space="preserve">Sale Price ($)</t>
  </si>
  <si>
    <t xml:space="preserve">Sale Price ($/SF)</t>
  </si>
  <si>
    <t xml:space="preserve">Months to Eff. Date</t>
  </si>
  <si>
    <t xml:space="preserve">Monthly Mkt Rate</t>
  </si>
  <si>
    <t xml:space="preserve">Time Adj %</t>
  </si>
  <si>
    <t xml:space="preserve">Adjusted Price ($/SF)</t>
  </si>
  <si>
    <t xml:space="preserve">Ratio (Ac/As)</t>
  </si>
  <si>
    <t xml:space="preserve">Size Factor</t>
  </si>
  <si>
    <t xml:space="preserve">Size Adj %</t>
  </si>
  <si>
    <t xml:space="preserve">Size Adj $/SF</t>
  </si>
  <si>
    <t xml:space="preserve">Location Adj %</t>
  </si>
  <si>
    <t xml:space="preserve">Quality/Condition Adj %</t>
  </si>
  <si>
    <t xml:space="preserve">Utility Adj %</t>
  </si>
  <si>
    <t xml:space="preserve">Net Adjustment %</t>
  </si>
  <si>
    <t xml:space="preserve">Indicated Value ($/SF)</t>
  </si>
  <si>
    <t xml:space="preserve">2025-03-15</t>
  </si>
  <si>
    <t xml:space="preserve">200 Fictional Park Drive, Demo Hills</t>
  </si>
  <si>
    <t xml:space="preserve">2024-08-22</t>
  </si>
  <si>
    <t xml:space="preserve">425 Sample Center Boulevard, Example Heights</t>
  </si>
  <si>
    <t xml:space="preserve">2025-01-10</t>
  </si>
  <si>
    <t xml:space="preserve">310 Demonstration Ave, Sample City</t>
  </si>
  <si>
    <t xml:space="preserve">Sale No. 8</t>
  </si>
  <si>
    <t xml:space="preserve">Sale No. 9</t>
  </si>
  <si>
    <t xml:space="preserve">Sale No. 10</t>
  </si>
  <si>
    <t xml:space="preserve">Land Sales Adjustment Grid</t>
  </si>
  <si>
    <t xml:space="preserve">Subject: 100 Example Commerce Way, Sample City — 55,452 SF (1.27 Ac), Zone X, C-5</t>
  </si>
  <si>
    <t xml:space="preserve">Site Area (SF)</t>
  </si>
  <si>
    <t xml:space="preserve">Topography Adj %</t>
  </si>
  <si>
    <t xml:space="preserve">Surrounding Land Uses Adj %</t>
  </si>
  <si>
    <t xml:space="preserve">150 Fictional Commerce Pkwy, Sample City</t>
  </si>
  <si>
    <t xml:space="preserve">2025-05-01</t>
  </si>
  <si>
    <t xml:space="preserve">X</t>
  </si>
  <si>
    <t xml:space="preserve">C-5</t>
  </si>
  <si>
    <t xml:space="preserve">275 Example Trade Center Rd, Sample City</t>
  </si>
  <si>
    <t xml:space="preserve">2025-02-14</t>
  </si>
  <si>
    <t xml:space="preserve">LAND VALUE CONCLUSION</t>
  </si>
  <si>
    <t xml:space="preserve">Indicated Range ($/SF):</t>
  </si>
  <si>
    <t xml:space="preserve">Concluded Land Value ($/SF):</t>
  </si>
  <si>
    <t xml:space="preserve">Site Area (SF):</t>
  </si>
  <si>
    <t xml:space="preserve">Concluded Land Value:</t>
  </si>
  <si>
    <t xml:space="preserve">Qualitative Analysis Grid — Sales Comparison Approach</t>
  </si>
  <si>
    <t xml:space="preserve">Threshold (|Overall| below this = Similar):</t>
  </si>
  <si>
    <t xml:space="preserve">Traffic</t>
  </si>
  <si>
    <t xml:space="preserve">MHI</t>
  </si>
  <si>
    <t xml:space="preserve">Rating</t>
  </si>
  <si>
    <t xml:space="preserve"># Superior:</t>
  </si>
  <si>
    <t xml:space="preserve"># Similar:</t>
  </si>
  <si>
    <t xml:space="preserve"># Inferior:</t>
  </si>
  <si>
    <t xml:space="preserve">Qualitative Analysis Grid — Land Sales</t>
  </si>
  <si>
    <t xml:space="preserve">Topography</t>
  </si>
  <si>
    <t xml:space="preserve">Surrounding Land Uses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</si>
</sst>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General_)"/>
    <numFmt numFmtId="166" formatCode="_(* #,##0.00_);_(* \(#,##0.00\);_(* \-??_);_(@_)"/>
    <numFmt numFmtId="167" formatCode="_(\$* #,##0.00_);_(\$* \(#,##0.00\);_(\$* \-??_);_(@_)"/>
    <numFmt numFmtId="168" formatCode="0%"/>
    <numFmt numFmtId="169" formatCode="#,##0"/>
    <numFmt numFmtId="170" formatCode="mmm\ yyyy"/>
    <numFmt numFmtId="171" formatCode="\$#,##0"/>
    <numFmt numFmtId="172" formatCode="\$#,##0.00"/>
    <numFmt numFmtId="173" formatCode="0.0%;\(0.0%\);\-"/>
    <numFmt numFmtId="174" formatCode="0.00"/>
    <numFmt numFmtId="175" formatCode="@"/>
    <numFmt numFmtId="176" formatCode="0.0000"/>
    <numFmt numFmtId="177" formatCode="0.00%"/>
    <numFmt numFmtId="178" formatCode="mm/dd/yyyy"/>
    <numFmt numFmtId="179" formatCode="0.0%"/>
    <numFmt numFmtId="180" formatCode="#,##0.00"/>
    <numFmt numFmtId="181" formatCode="0.0"/>
    <numFmt numFmtId="182" formatCode="\+0.0%;\-0.0%;0.0%"/>
    <numFmt numFmtId="183" formatCode="0.000"/>
    <numFmt numFmtId="184" formatCode="0"/>
  </numFmts>
  <fonts count="4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Arial MT"/>
      <family val="0"/>
      <charset val="1"/>
    </font>
    <font>
      <sz val="10"/>
      <name val="Arial"/>
      <family val="0"/>
      <charset val="1"/>
    </font>
    <font>
      <sz val="11"/>
      <color rgb="FFFFFFFF"/>
      <name val="Articulat CF Medium"/>
      <family val="0"/>
      <charset val="1"/>
    </font>
    <font>
      <sz val="11"/>
      <color rgb="FF3F2A66"/>
      <name val="Articulat CF Medium"/>
      <family val="0"/>
      <charset val="1"/>
    </font>
    <font>
      <i val="true"/>
      <sz val="10"/>
      <color rgb="FF3F2A66"/>
      <name val="Calibri"/>
      <family val="0"/>
      <charset val="1"/>
    </font>
    <font>
      <sz val="11"/>
      <color rgb="FF000000"/>
      <name val="Articulat CF Normal"/>
      <family val="0"/>
      <charset val="1"/>
    </font>
    <font>
      <sz val="11"/>
      <color rgb="FF000000"/>
      <name val="Calibri"/>
      <family val="0"/>
      <charset val="1"/>
    </font>
    <font>
      <i val="true"/>
      <sz val="10"/>
      <color rgb="FF777777"/>
      <name val="Articulat CF"/>
      <family val="0"/>
      <charset val="1"/>
    </font>
    <font>
      <sz val="10"/>
      <color rgb="FF111111"/>
      <name val="Calibri"/>
      <family val="0"/>
      <charset val="1"/>
    </font>
    <font>
      <sz val="10"/>
      <color rgb="FF3F2A66"/>
      <name val="Calibri"/>
      <family val="0"/>
      <charset val="1"/>
    </font>
    <font>
      <i val="true"/>
      <sz val="10"/>
      <color rgb="FF777777"/>
      <name val="Calibri"/>
      <family val="0"/>
      <charset val="1"/>
    </font>
    <font>
      <sz val="11"/>
      <name val="Calibri"/>
      <family val="0"/>
      <charset val="1"/>
    </font>
    <font>
      <sz val="10"/>
      <color rgb="FFFFFFFF"/>
      <name val="Articulat CF Medium"/>
      <family val="0"/>
      <charset val="1"/>
    </font>
    <font>
      <sz val="10"/>
      <name val="Articulat CF Medium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9"/>
      <name val="Cambria"/>
      <family val="0"/>
      <charset val="1"/>
    </font>
    <font>
      <b val="true"/>
      <sz val="11"/>
      <color rgb="FF3F2A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1"/>
      <color rgb="FF3F2A66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i val="true"/>
      <sz val="10"/>
      <color rgb="FF4CAF50"/>
      <name val="Calibri"/>
      <family val="0"/>
      <charset val="1"/>
    </font>
    <font>
      <sz val="10"/>
      <name val="Europa-Regular"/>
      <family val="0"/>
      <charset val="1"/>
    </font>
    <font>
      <sz val="11"/>
      <color rgb="FF3F2A66"/>
      <name val="Calibri"/>
      <family val="0"/>
      <charset val="1"/>
    </font>
    <font>
      <sz val="11"/>
      <color rgb="FF2E7D32"/>
      <name val="Calibri"/>
      <family val="0"/>
      <charset val="1"/>
    </font>
    <font>
      <sz val="11"/>
      <color rgb="FFC62828"/>
      <name val="Calibri"/>
      <family val="0"/>
      <charset val="1"/>
    </font>
    <font>
      <b val="true"/>
      <i val="true"/>
      <sz val="9"/>
      <name val="Cambria"/>
      <family val="0"/>
      <charset val="1"/>
    </font>
    <font>
      <sz val="9"/>
      <color rgb="FF444444"/>
      <name val="Cambria"/>
      <family val="0"/>
      <charset val="1"/>
    </font>
    <font>
      <sz val="9"/>
      <color rgb="FF000000"/>
      <name val="Cambria"/>
      <family val="0"/>
      <charset val="1"/>
    </font>
    <font>
      <i val="true"/>
      <sz val="8"/>
      <color rgb="FF888888"/>
      <name val="Cambria"/>
      <family val="0"/>
      <charset val="1"/>
    </font>
    <font>
      <i val="true"/>
      <sz val="8"/>
      <color rgb="FF666666"/>
      <name val="Cambria"/>
      <family val="0"/>
      <charset val="1"/>
    </font>
    <font>
      <b val="true"/>
      <sz val="9"/>
      <color rgb="FF000000"/>
      <name val="Cambria"/>
      <family val="0"/>
      <charset val="1"/>
    </font>
    <font>
      <b val="true"/>
      <sz val="9"/>
      <color rgb="FF0000FF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sz val="9"/>
      <color rgb="FF0000FF"/>
      <name val="Cambria"/>
      <family val="0"/>
      <charset val="1"/>
    </font>
    <font>
      <b val="true"/>
      <sz val="9"/>
      <color rgb="FFFFFFFF"/>
      <name val="Calibri"/>
      <family val="0"/>
      <charset val="1"/>
    </font>
    <font>
      <i val="true"/>
      <sz val="9"/>
      <color rgb="FF3F2A66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3F2A66"/>
        <bgColor rgb="FF444444"/>
      </patternFill>
    </fill>
    <fill>
      <patternFill patternType="solid">
        <fgColor rgb="FFD5CCEB"/>
        <bgColor rgb="FFCCCCCC"/>
      </patternFill>
    </fill>
    <fill>
      <patternFill patternType="solid">
        <fgColor rgb="FFEDE9F7"/>
        <bgColor rgb="FFEAE6F2"/>
      </patternFill>
    </fill>
    <fill>
      <patternFill patternType="solid">
        <fgColor rgb="FFFFFFFF"/>
        <bgColor rgb="FFF5F5F5"/>
      </patternFill>
    </fill>
    <fill>
      <patternFill patternType="solid">
        <fgColor rgb="FFE8F5E9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FDECEA"/>
        <bgColor rgb="FFF5F5F5"/>
      </patternFill>
    </fill>
    <fill>
      <patternFill patternType="solid">
        <fgColor rgb="FFEAE6F2"/>
        <bgColor rgb="FFEDE9F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ck">
        <color rgb="FF0000FF"/>
      </left>
      <right/>
      <top style="thick">
        <color rgb="FF0000FF"/>
      </top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3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3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1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10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6" fontId="10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10" fillId="7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10" fillId="7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6" fontId="10" fillId="7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0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7" fontId="10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7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0" fillId="7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7" fontId="10" fillId="7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7" fontId="21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1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1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2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10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8" fontId="10" fillId="7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21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10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10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0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0" fillId="7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1" fontId="10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0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21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1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9" fontId="21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4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0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3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3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3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" xfId="20"/>
    <cellStyle name="Comma 2" xfId="21"/>
    <cellStyle name="Comma 2 2" xfId="22"/>
    <cellStyle name="Comma 3" xfId="23"/>
    <cellStyle name="Currency 2" xfId="24"/>
    <cellStyle name="Normal 2" xfId="25"/>
    <cellStyle name="Normal 2 2" xfId="26"/>
    <cellStyle name="Normal 3" xfId="27"/>
    <cellStyle name="Percent 2" xfId="28"/>
    <cellStyle name="Percent 2 2" xfId="29"/>
  </cellStyles>
  <dxfs count="2">
    <dxf>
      <font>
        <name val="Calibri"/>
        <charset val="1"/>
        <family val="0"/>
        <color rgb="FF2E7D32"/>
        <sz val="11"/>
      </font>
      <fill>
        <patternFill>
          <bgColor rgb="FFE8F5E9"/>
        </patternFill>
      </fill>
    </dxf>
    <dxf>
      <font>
        <name val="Calibri"/>
        <charset val="1"/>
        <family val="0"/>
        <color rgb="FFC62828"/>
        <sz val="11"/>
      </font>
      <fill>
        <patternFill>
          <bgColor rgb="FFFDECE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5F5F5"/>
      <rgbColor rgb="FFE8F5E9"/>
      <rgbColor rgb="FF660066"/>
      <rgbColor rgb="FFFF8080"/>
      <rgbColor rgb="FF0066CC"/>
      <rgbColor rgb="FFD5CC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9F7"/>
      <rgbColor rgb="FFEAE6F2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777777"/>
      <rgbColor rgb="FF003366"/>
      <rgbColor rgb="FF4CAF50"/>
      <rgbColor rgb="FF111111"/>
      <rgbColor rgb="FF333300"/>
      <rgbColor rgb="FFC62828"/>
      <rgbColor rgb="FF993366"/>
      <rgbColor rgb="FF3F2A66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30.33"/>
    <col collapsed="false" customWidth="true" hidden="false" outlineLevel="0" max="2" min="2" style="1" width="25"/>
    <col collapsed="false" customWidth="true" hidden="false" outlineLevel="0" max="3" min="3" style="1" width="44.56"/>
    <col collapsed="false" customWidth="true" hidden="false" outlineLevel="0" max="4" min="4" style="1" width="10"/>
  </cols>
  <sheetData>
    <row r="1" customFormat="false" ht="18" hidden="false" customHeight="true" outlineLevel="0" collapsed="false">
      <c r="A1" s="2" t="s">
        <v>0</v>
      </c>
      <c r="B1" s="2"/>
      <c r="C1" s="2"/>
      <c r="D1" s="2"/>
    </row>
    <row r="2" customFormat="false" ht="15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</row>
    <row r="3" customFormat="false" ht="13.5" hidden="false" customHeight="true" outlineLevel="0" collapsed="false">
      <c r="A3" s="4" t="s">
        <v>5</v>
      </c>
      <c r="B3" s="4"/>
      <c r="C3" s="4"/>
      <c r="D3" s="4"/>
    </row>
    <row r="4" customFormat="false" ht="13.5" hidden="false" customHeight="true" outlineLevel="0" collapsed="false">
      <c r="A4" s="4" t="s">
        <v>6</v>
      </c>
      <c r="B4" s="4"/>
      <c r="C4" s="4"/>
      <c r="D4" s="4"/>
    </row>
    <row r="5" customFormat="false" ht="18" hidden="false" customHeight="true" outlineLevel="0" collapsed="false">
      <c r="A5" s="2" t="s">
        <v>7</v>
      </c>
      <c r="B5" s="2"/>
      <c r="C5" s="2"/>
      <c r="D5" s="2"/>
    </row>
    <row r="6" customFormat="false" ht="15" hidden="false" customHeight="true" outlineLevel="0" collapsed="false">
      <c r="A6" s="5" t="s">
        <v>8</v>
      </c>
      <c r="B6" s="6" t="s">
        <v>9</v>
      </c>
      <c r="C6" s="7" t="s">
        <v>10</v>
      </c>
      <c r="D6" s="8" t="str">
        <f aca="false">IF(B6&lt;&gt;"","✓","—")</f>
        <v>✓</v>
      </c>
    </row>
    <row r="7" customFormat="false" ht="15" hidden="false" customHeight="true" outlineLevel="0" collapsed="false">
      <c r="A7" s="9" t="s">
        <v>11</v>
      </c>
      <c r="B7" s="6" t="s">
        <v>12</v>
      </c>
      <c r="C7" s="10" t="s">
        <v>13</v>
      </c>
      <c r="D7" s="11" t="str">
        <f aca="false">IF(B7&lt;&gt;"","✓","—")</f>
        <v>✓</v>
      </c>
    </row>
    <row r="8" customFormat="false" ht="15" hidden="false" customHeight="true" outlineLevel="0" collapsed="false">
      <c r="A8" s="5" t="s">
        <v>14</v>
      </c>
      <c r="B8" s="6" t="s">
        <v>12</v>
      </c>
      <c r="C8" s="7" t="s">
        <v>13</v>
      </c>
      <c r="D8" s="8" t="str">
        <f aca="false">IF(B8&lt;&gt;"","✓","—")</f>
        <v>✓</v>
      </c>
    </row>
    <row r="9" customFormat="false" ht="15" hidden="false" customHeight="true" outlineLevel="0" collapsed="false">
      <c r="A9" s="9" t="s">
        <v>15</v>
      </c>
      <c r="B9" s="6" t="s">
        <v>16</v>
      </c>
      <c r="C9" s="10" t="s">
        <v>17</v>
      </c>
      <c r="D9" s="11" t="str">
        <f aca="false">IF(B9&lt;&gt;"","✓","—")</f>
        <v>✓</v>
      </c>
    </row>
    <row r="10" customFormat="false" ht="15" hidden="false" customHeight="true" outlineLevel="0" collapsed="false">
      <c r="A10" s="5" t="s">
        <v>18</v>
      </c>
      <c r="B10" s="6" t="s">
        <v>12</v>
      </c>
      <c r="C10" s="7" t="s">
        <v>19</v>
      </c>
      <c r="D10" s="8" t="str">
        <f aca="false">IF(B10&lt;&gt;"","✓","—")</f>
        <v>✓</v>
      </c>
    </row>
    <row r="11" customFormat="false" ht="15" hidden="false" customHeight="true" outlineLevel="0" collapsed="false">
      <c r="A11" s="9" t="s">
        <v>20</v>
      </c>
      <c r="B11" s="6"/>
      <c r="C11" s="10" t="s">
        <v>21</v>
      </c>
      <c r="D11" s="11" t="str">
        <f aca="false">IF(B11&lt;&gt;"","✓","—")</f>
        <v>—</v>
      </c>
    </row>
    <row r="12" customFormat="false" ht="18" hidden="false" customHeight="true" outlineLevel="0" collapsed="false">
      <c r="A12" s="2" t="s">
        <v>22</v>
      </c>
      <c r="B12" s="2"/>
      <c r="C12" s="2"/>
      <c r="D12" s="2"/>
    </row>
    <row r="13" customFormat="false" ht="15" hidden="false" customHeight="true" outlineLevel="0" collapsed="false">
      <c r="A13" s="12" t="s">
        <v>23</v>
      </c>
      <c r="B13" s="6" t="s">
        <v>24</v>
      </c>
      <c r="C13" s="10" t="s">
        <v>25</v>
      </c>
      <c r="D13" s="11" t="str">
        <f aca="false">IF(B13&lt;&gt;"","✓","—")</f>
        <v>✓</v>
      </c>
    </row>
    <row r="14" customFormat="false" ht="15" hidden="false" customHeight="true" outlineLevel="0" collapsed="false">
      <c r="A14" s="13" t="s">
        <v>26</v>
      </c>
      <c r="B14" s="6" t="s">
        <v>27</v>
      </c>
      <c r="C14" s="7" t="s">
        <v>28</v>
      </c>
      <c r="D14" s="8" t="str">
        <f aca="false">IF(B14&lt;&gt;"","✓","—")</f>
        <v>✓</v>
      </c>
    </row>
    <row r="15" customFormat="false" ht="15" hidden="false" customHeight="true" outlineLevel="0" collapsed="false">
      <c r="A15" s="12" t="s">
        <v>29</v>
      </c>
      <c r="B15" s="6" t="s">
        <v>30</v>
      </c>
      <c r="C15" s="10" t="s">
        <v>31</v>
      </c>
      <c r="D15" s="11" t="str">
        <f aca="false">IF(B15&lt;&gt;"","✓","—")</f>
        <v>✓</v>
      </c>
    </row>
    <row r="16" customFormat="false" ht="15" hidden="false" customHeight="true" outlineLevel="0" collapsed="false">
      <c r="A16" s="13" t="s">
        <v>32</v>
      </c>
      <c r="B16" s="6" t="s">
        <v>33</v>
      </c>
      <c r="C16" s="7" t="s">
        <v>34</v>
      </c>
      <c r="D16" s="8" t="str">
        <f aca="false">IF(B16&lt;&gt;"","✓","—")</f>
        <v>✓</v>
      </c>
    </row>
    <row r="17" customFormat="false" ht="15" hidden="false" customHeight="true" outlineLevel="0" collapsed="false">
      <c r="A17" s="12" t="s">
        <v>35</v>
      </c>
      <c r="B17" s="6" t="s">
        <v>36</v>
      </c>
      <c r="C17" s="10" t="s">
        <v>37</v>
      </c>
      <c r="D17" s="11" t="str">
        <f aca="false">IF(B17&lt;&gt;"","✓","—")</f>
        <v>✓</v>
      </c>
    </row>
    <row r="18" customFormat="false" ht="15" hidden="false" customHeight="true" outlineLevel="0" collapsed="false">
      <c r="A18" s="13" t="s">
        <v>38</v>
      </c>
      <c r="B18" s="6" t="s">
        <v>39</v>
      </c>
      <c r="C18" s="7" t="s">
        <v>40</v>
      </c>
      <c r="D18" s="8" t="str">
        <f aca="false">IF(B18&lt;&gt;"","✓","—")</f>
        <v>✓</v>
      </c>
    </row>
    <row r="19" customFormat="false" ht="18" hidden="false" customHeight="true" outlineLevel="0" collapsed="false">
      <c r="A19" s="2" t="s">
        <v>41</v>
      </c>
      <c r="B19" s="2"/>
      <c r="C19" s="2"/>
      <c r="D19" s="2"/>
    </row>
    <row r="20" customFormat="false" ht="15" hidden="false" customHeight="true" outlineLevel="0" collapsed="false">
      <c r="A20" s="13" t="s">
        <v>42</v>
      </c>
      <c r="B20" s="6" t="s">
        <v>43</v>
      </c>
      <c r="C20" s="7" t="s">
        <v>34</v>
      </c>
      <c r="D20" s="8" t="str">
        <f aca="false">IF(B20&lt;&gt;"","✓","—")</f>
        <v>✓</v>
      </c>
    </row>
    <row r="21" customFormat="false" ht="15" hidden="false" customHeight="true" outlineLevel="0" collapsed="false">
      <c r="A21" s="12" t="s">
        <v>44</v>
      </c>
      <c r="B21" s="6" t="s">
        <v>45</v>
      </c>
      <c r="C21" s="10" t="s">
        <v>46</v>
      </c>
      <c r="D21" s="11" t="str">
        <f aca="false">IF(B21&lt;&gt;"","✓","—")</f>
        <v>✓</v>
      </c>
    </row>
    <row r="22" customFormat="false" ht="15" hidden="false" customHeight="true" outlineLevel="0" collapsed="false">
      <c r="A22" s="13" t="s">
        <v>47</v>
      </c>
      <c r="B22" s="6" t="s">
        <v>48</v>
      </c>
      <c r="C22" s="7" t="s">
        <v>49</v>
      </c>
      <c r="D22" s="8" t="str">
        <f aca="false">IF(B22&lt;&gt;"","✓","—")</f>
        <v>✓</v>
      </c>
    </row>
    <row r="23" customFormat="false" ht="15" hidden="false" customHeight="true" outlineLevel="0" collapsed="false">
      <c r="A23" s="12" t="s">
        <v>50</v>
      </c>
      <c r="B23" s="6" t="s">
        <v>51</v>
      </c>
      <c r="C23" s="10" t="s">
        <v>52</v>
      </c>
      <c r="D23" s="11" t="str">
        <f aca="false">IF(B23&lt;&gt;"","✓","—")</f>
        <v>✓</v>
      </c>
    </row>
    <row r="24" customFormat="false" ht="15" hidden="false" customHeight="true" outlineLevel="0" collapsed="false">
      <c r="A24" s="13" t="s">
        <v>53</v>
      </c>
      <c r="B24" s="6" t="s">
        <v>54</v>
      </c>
      <c r="C24" s="7" t="s">
        <v>55</v>
      </c>
      <c r="D24" s="8"/>
    </row>
    <row r="25" customFormat="false" ht="15" hidden="false" customHeight="true" outlineLevel="0" collapsed="false">
      <c r="A25" s="12" t="s">
        <v>56</v>
      </c>
      <c r="B25" s="6"/>
      <c r="C25" s="10" t="s">
        <v>57</v>
      </c>
      <c r="D25" s="11" t="str">
        <f aca="false">IF(B24&lt;&gt;"","✓","—")</f>
        <v>✓</v>
      </c>
    </row>
    <row r="26" customFormat="false" ht="15" hidden="false" customHeight="true" outlineLevel="0" collapsed="false">
      <c r="A26" s="13" t="s">
        <v>58</v>
      </c>
      <c r="B26" s="6" t="s">
        <v>59</v>
      </c>
      <c r="C26" s="7" t="s">
        <v>60</v>
      </c>
      <c r="D26" s="8" t="str">
        <f aca="false">IF(B25&lt;&gt;"","✓","—")</f>
        <v>—</v>
      </c>
    </row>
    <row r="27" customFormat="false" ht="15" hidden="false" customHeight="true" outlineLevel="0" collapsed="false">
      <c r="A27" s="12" t="s">
        <v>61</v>
      </c>
      <c r="B27" s="6" t="s">
        <v>62</v>
      </c>
      <c r="C27" s="10" t="s">
        <v>63</v>
      </c>
      <c r="D27" s="11" t="str">
        <f aca="false">IF(B26&lt;&gt;"","✓","—")</f>
        <v>✓</v>
      </c>
    </row>
    <row r="28" customFormat="false" ht="18" hidden="false" customHeight="true" outlineLevel="0" collapsed="false">
      <c r="A28" s="2" t="s">
        <v>64</v>
      </c>
      <c r="B28" s="1" t="s">
        <v>65</v>
      </c>
      <c r="C28" s="1" t="s">
        <v>66</v>
      </c>
      <c r="D28" s="1" t="str">
        <f aca="false">IF(B28&lt;&gt;"","✓","—")</f>
        <v>✓</v>
      </c>
    </row>
    <row r="29" customFormat="false" ht="18" hidden="false" customHeight="true" outlineLevel="0" collapsed="false">
      <c r="A29" s="2" t="s">
        <v>67</v>
      </c>
      <c r="B29" s="2"/>
      <c r="C29" s="2"/>
      <c r="D29" s="2"/>
    </row>
    <row r="30" customFormat="false" ht="15" hidden="false" customHeight="true" outlineLevel="0" collapsed="false">
      <c r="A30" s="13" t="s">
        <v>68</v>
      </c>
      <c r="B30" s="6" t="s">
        <v>69</v>
      </c>
      <c r="C30" s="7" t="s">
        <v>70</v>
      </c>
      <c r="D30" s="8" t="str">
        <f aca="false">IF(B29&lt;&gt;"","✓","—")</f>
        <v>—</v>
      </c>
    </row>
    <row r="31" customFormat="false" ht="15" hidden="false" customHeight="true" outlineLevel="0" collapsed="false">
      <c r="A31" s="12" t="s">
        <v>71</v>
      </c>
      <c r="B31" s="6"/>
      <c r="C31" s="10" t="s">
        <v>72</v>
      </c>
      <c r="D31" s="11" t="str">
        <f aca="false">IF(B30&lt;&gt;"","✓","—")</f>
        <v>✓</v>
      </c>
    </row>
    <row r="32" customFormat="false" ht="15" hidden="false" customHeight="true" outlineLevel="0" collapsed="false">
      <c r="A32" s="13" t="s">
        <v>73</v>
      </c>
      <c r="B32" s="6" t="s">
        <v>74</v>
      </c>
      <c r="C32" s="7" t="s">
        <v>75</v>
      </c>
      <c r="D32" s="8" t="str">
        <f aca="false">IF(B31&lt;&gt;"","✓","—")</f>
        <v>—</v>
      </c>
    </row>
    <row r="33" customFormat="false" ht="15" hidden="false" customHeight="true" outlineLevel="0" collapsed="false">
      <c r="A33" s="12" t="s">
        <v>76</v>
      </c>
      <c r="B33" s="6"/>
      <c r="C33" s="10" t="s">
        <v>77</v>
      </c>
      <c r="D33" s="11" t="str">
        <f aca="false">IF(B32&lt;&gt;"","✓","—")</f>
        <v>✓</v>
      </c>
    </row>
    <row r="34" customFormat="false" ht="18" hidden="false" customHeight="true" outlineLevel="0" collapsed="false">
      <c r="A34" s="13" t="s">
        <v>78</v>
      </c>
      <c r="B34" s="14"/>
      <c r="C34" s="7"/>
      <c r="D34" s="15" t="str">
        <f aca="false">IF(B33&lt;&gt;"","✓","—")</f>
        <v>—</v>
      </c>
    </row>
    <row r="35" customFormat="false" ht="18" hidden="false" customHeight="true" outlineLevel="0" collapsed="false">
      <c r="A35" s="12" t="s">
        <v>79</v>
      </c>
      <c r="B35" s="14"/>
      <c r="C35" s="10"/>
      <c r="D35" s="15" t="str">
        <f aca="false">IF(B34&lt;&gt;"","✓","—")</f>
        <v>—</v>
      </c>
    </row>
    <row r="36" customFormat="false" ht="18" hidden="false" customHeight="true" outlineLevel="0" collapsed="false">
      <c r="A36" s="13" t="s">
        <v>80</v>
      </c>
      <c r="B36" s="14"/>
      <c r="C36" s="7"/>
      <c r="D36" s="15" t="str">
        <f aca="false">IF(B35&lt;&gt;"","✓","—")</f>
        <v>—</v>
      </c>
    </row>
    <row r="37" customFormat="false" ht="18" hidden="false" customHeight="true" outlineLevel="0" collapsed="false">
      <c r="A37" s="12" t="s">
        <v>81</v>
      </c>
      <c r="B37" s="14"/>
      <c r="C37" s="10"/>
      <c r="D37" s="15" t="str">
        <f aca="false">IF(B36&lt;&gt;"","✓","—")</f>
        <v>—</v>
      </c>
    </row>
    <row r="38" customFormat="false" ht="15" hidden="false" customHeight="true" outlineLevel="0" collapsed="false">
      <c r="A38" s="13" t="s">
        <v>82</v>
      </c>
      <c r="B38" s="6"/>
      <c r="C38" s="7" t="s">
        <v>83</v>
      </c>
      <c r="D38" s="8" t="str">
        <f aca="false">IF(B37&lt;&gt;"","✓","—")</f>
        <v>—</v>
      </c>
    </row>
    <row r="39" customFormat="false" ht="18" hidden="false" customHeight="true" outlineLevel="0" collapsed="false">
      <c r="A39" s="12" t="s">
        <v>84</v>
      </c>
      <c r="B39" s="14"/>
      <c r="C39" s="10"/>
      <c r="D39" s="15" t="str">
        <f aca="false">IF(B38&lt;&gt;"","✓","—")</f>
        <v>—</v>
      </c>
    </row>
    <row r="40" customFormat="false" ht="15" hidden="false" customHeight="true" outlineLevel="0" collapsed="false">
      <c r="A40" s="13" t="s">
        <v>85</v>
      </c>
      <c r="B40" s="6"/>
      <c r="C40" s="7" t="s">
        <v>86</v>
      </c>
      <c r="D40" s="8" t="str">
        <f aca="false">IF(B39&lt;&gt;"","✓","—")</f>
        <v>—</v>
      </c>
    </row>
    <row r="41" customFormat="false" ht="21.75" hidden="false" customHeight="true" outlineLevel="0" collapsed="false">
      <c r="A41" s="12" t="s">
        <v>87</v>
      </c>
      <c r="B41" s="1" t="s">
        <v>88</v>
      </c>
    </row>
    <row r="42" customFormat="false" ht="18" hidden="false" customHeight="true" outlineLevel="0" collapsed="false">
      <c r="A42" s="2" t="s">
        <v>89</v>
      </c>
      <c r="B42" s="2"/>
      <c r="C42" s="2"/>
      <c r="D42" s="2"/>
    </row>
    <row r="43" customFormat="false" ht="15" hidden="false" customHeight="true" outlineLevel="0" collapsed="false">
      <c r="A43" s="12" t="s">
        <v>90</v>
      </c>
      <c r="B43" s="6" t="s">
        <v>91</v>
      </c>
      <c r="C43" s="10" t="s">
        <v>92</v>
      </c>
      <c r="D43" s="11"/>
    </row>
    <row r="44" customFormat="false" ht="15" hidden="false" customHeight="true" outlineLevel="0" collapsed="false">
      <c r="A44" s="13" t="s">
        <v>93</v>
      </c>
      <c r="B44" s="6" t="s">
        <v>94</v>
      </c>
      <c r="C44" s="7" t="s">
        <v>95</v>
      </c>
      <c r="D44" s="8"/>
    </row>
    <row r="45" customFormat="false" ht="15" hidden="false" customHeight="true" outlineLevel="0" collapsed="false">
      <c r="A45" s="12" t="s">
        <v>96</v>
      </c>
      <c r="B45" s="6" t="s">
        <v>97</v>
      </c>
      <c r="C45" s="10" t="s">
        <v>98</v>
      </c>
      <c r="D45" s="11"/>
    </row>
    <row r="46" customFormat="false" ht="15" hidden="false" customHeight="true" outlineLevel="0" collapsed="false">
      <c r="A46" s="13" t="s">
        <v>99</v>
      </c>
      <c r="B46" s="6" t="s">
        <v>51</v>
      </c>
      <c r="C46" s="7" t="s">
        <v>100</v>
      </c>
      <c r="D46" s="8"/>
    </row>
    <row r="47" customFormat="false" ht="15" hidden="false" customHeight="true" outlineLevel="0" collapsed="false">
      <c r="A47" s="12" t="s">
        <v>101</v>
      </c>
      <c r="B47" s="6" t="s">
        <v>102</v>
      </c>
      <c r="C47" s="10" t="s">
        <v>103</v>
      </c>
      <c r="D47" s="11"/>
    </row>
    <row r="48" customFormat="false" ht="15" hidden="false" customHeight="true" outlineLevel="0" collapsed="false">
      <c r="A48" s="13" t="s">
        <v>104</v>
      </c>
      <c r="B48" s="6" t="s">
        <v>105</v>
      </c>
      <c r="C48" s="7" t="s">
        <v>106</v>
      </c>
      <c r="D48" s="8"/>
    </row>
    <row r="49" customFormat="false" ht="15" hidden="false" customHeight="true" outlineLevel="0" collapsed="false">
      <c r="A49" s="12" t="s">
        <v>107</v>
      </c>
      <c r="B49" s="6" t="s">
        <v>108</v>
      </c>
      <c r="C49" s="10" t="s">
        <v>109</v>
      </c>
      <c r="D49" s="11"/>
    </row>
    <row r="50" customFormat="false" ht="15" hidden="false" customHeight="true" outlineLevel="0" collapsed="false">
      <c r="A50" s="13" t="s">
        <v>110</v>
      </c>
      <c r="B50" s="6" t="s">
        <v>108</v>
      </c>
      <c r="C50" s="7" t="s">
        <v>109</v>
      </c>
      <c r="D50" s="8"/>
    </row>
    <row r="51" customFormat="false" ht="15" hidden="false" customHeight="true" outlineLevel="0" collapsed="false">
      <c r="A51" s="12"/>
      <c r="B51" s="6"/>
      <c r="C51" s="16"/>
      <c r="D51" s="11"/>
    </row>
    <row r="52" customFormat="false" ht="15" hidden="false" customHeight="true" outlineLevel="0" collapsed="false">
      <c r="A52" s="13"/>
      <c r="B52" s="6"/>
      <c r="C52" s="17"/>
      <c r="D52" s="8"/>
    </row>
    <row r="53" customFormat="false" ht="18" hidden="false" customHeight="true" outlineLevel="0" collapsed="false">
      <c r="A53" s="2" t="s">
        <v>111</v>
      </c>
      <c r="B53" s="2"/>
      <c r="C53" s="2"/>
      <c r="D53" s="2"/>
    </row>
    <row r="54" customFormat="false" ht="21.75" hidden="false" customHeight="true" outlineLevel="0" collapsed="false">
      <c r="A54" s="1" t="s">
        <v>112</v>
      </c>
      <c r="B54" s="1" t="s">
        <v>113</v>
      </c>
    </row>
    <row r="55" customFormat="false" ht="15" hidden="false" customHeight="true" outlineLevel="0" collapsed="false">
      <c r="A55" s="12" t="s">
        <v>114</v>
      </c>
      <c r="B55" s="6" t="s">
        <v>115</v>
      </c>
      <c r="C55" s="10" t="s">
        <v>116</v>
      </c>
      <c r="D55" s="11"/>
    </row>
    <row r="56" customFormat="false" ht="15" hidden="false" customHeight="true" outlineLevel="0" collapsed="false">
      <c r="A56" s="13" t="s">
        <v>117</v>
      </c>
      <c r="B56" s="6" t="s">
        <v>118</v>
      </c>
      <c r="C56" s="10" t="s">
        <v>119</v>
      </c>
      <c r="D56" s="8"/>
    </row>
    <row r="57" customFormat="false" ht="15" hidden="false" customHeight="true" outlineLevel="0" collapsed="false">
      <c r="A57" s="12" t="s">
        <v>120</v>
      </c>
      <c r="B57" s="6" t="s">
        <v>121</v>
      </c>
      <c r="C57" s="10" t="s">
        <v>122</v>
      </c>
      <c r="D57" s="11"/>
    </row>
    <row r="58" customFormat="false" ht="15" hidden="false" customHeight="true" outlineLevel="0" collapsed="false">
      <c r="A58" s="13" t="s">
        <v>123</v>
      </c>
      <c r="B58" s="6" t="s">
        <v>124</v>
      </c>
      <c r="C58" s="10" t="s">
        <v>125</v>
      </c>
      <c r="D58" s="8"/>
    </row>
    <row r="59" customFormat="false" ht="15" hidden="false" customHeight="true" outlineLevel="0" collapsed="false">
      <c r="A59" s="12" t="s">
        <v>126</v>
      </c>
      <c r="B59" s="6" t="s">
        <v>127</v>
      </c>
      <c r="C59" s="10" t="s">
        <v>128</v>
      </c>
      <c r="D59" s="11"/>
    </row>
    <row r="60" customFormat="false" ht="15" hidden="false" customHeight="true" outlineLevel="0" collapsed="false">
      <c r="A60" s="13"/>
      <c r="B60" s="6"/>
      <c r="C60" s="17"/>
      <c r="D60" s="8"/>
    </row>
    <row r="61" customFormat="false" ht="18" hidden="false" customHeight="true" outlineLevel="0" collapsed="false">
      <c r="A61" s="2" t="s">
        <v>129</v>
      </c>
      <c r="B61" s="2"/>
      <c r="C61" s="2"/>
      <c r="D61" s="2"/>
    </row>
    <row r="62" customFormat="false" ht="15" hidden="false" customHeight="true" outlineLevel="0" collapsed="false">
      <c r="A62" s="13" t="s">
        <v>130</v>
      </c>
      <c r="B62" s="6" t="s">
        <v>131</v>
      </c>
      <c r="C62" s="10" t="s">
        <v>132</v>
      </c>
      <c r="D62" s="8"/>
    </row>
    <row r="63" customFormat="false" ht="15" hidden="false" customHeight="true" outlineLevel="0" collapsed="false">
      <c r="A63" s="12" t="s">
        <v>133</v>
      </c>
      <c r="B63" s="6" t="s">
        <v>134</v>
      </c>
      <c r="C63" s="10" t="s">
        <v>135</v>
      </c>
      <c r="D63" s="11"/>
    </row>
    <row r="64" customFormat="false" ht="15" hidden="false" customHeight="true" outlineLevel="0" collapsed="false">
      <c r="A64" s="13" t="s">
        <v>136</v>
      </c>
      <c r="B64" s="6" t="s">
        <v>137</v>
      </c>
      <c r="C64" s="10" t="s">
        <v>138</v>
      </c>
      <c r="D64" s="8"/>
    </row>
    <row r="65" customFormat="false" ht="15" hidden="false" customHeight="true" outlineLevel="0" collapsed="false">
      <c r="A65" s="12" t="s">
        <v>139</v>
      </c>
      <c r="B65" s="6" t="s">
        <v>140</v>
      </c>
      <c r="C65" s="10" t="s">
        <v>141</v>
      </c>
      <c r="D65" s="11"/>
    </row>
    <row r="66" customFormat="false" ht="15" hidden="false" customHeight="true" outlineLevel="0" collapsed="false">
      <c r="A66" s="13" t="s">
        <v>142</v>
      </c>
      <c r="B66" s="6" t="s">
        <v>143</v>
      </c>
      <c r="C66" s="10" t="s">
        <v>144</v>
      </c>
      <c r="D66" s="8"/>
    </row>
    <row r="67" customFormat="false" ht="21.75" hidden="false" customHeight="true" outlineLevel="0" collapsed="false">
      <c r="A67" s="13" t="s">
        <v>145</v>
      </c>
    </row>
    <row r="68" customFormat="false" ht="18" hidden="false" customHeight="true" outlineLevel="0" collapsed="false">
      <c r="A68" s="13" t="s">
        <v>146</v>
      </c>
      <c r="B68" s="14"/>
      <c r="C68" s="10"/>
      <c r="D68" s="15" t="str">
        <f aca="false">IF(B43&lt;&gt;"","✓","—")</f>
        <v>✓</v>
      </c>
    </row>
    <row r="69" customFormat="false" ht="18" hidden="false" customHeight="true" outlineLevel="0" collapsed="false">
      <c r="A69" s="13" t="s">
        <v>147</v>
      </c>
      <c r="B69" s="14"/>
      <c r="C69" s="10"/>
      <c r="D69" s="15" t="str">
        <f aca="false">IF(B44&lt;&gt;"","✓","—")</f>
        <v>✓</v>
      </c>
    </row>
    <row r="70" customFormat="false" ht="15" hidden="false" customHeight="true" outlineLevel="0" collapsed="false">
      <c r="A70" s="13" t="s">
        <v>148</v>
      </c>
      <c r="B70" s="6"/>
      <c r="C70" s="10" t="s">
        <v>149</v>
      </c>
      <c r="D70" s="8" t="str">
        <f aca="false">IF(B45&lt;&gt;"","✓","—")</f>
        <v>✓</v>
      </c>
    </row>
    <row r="71" customFormat="false" ht="15" hidden="false" customHeight="true" outlineLevel="0" collapsed="false">
      <c r="A71" s="13" t="s">
        <v>150</v>
      </c>
      <c r="B71" s="6" t="s">
        <v>151</v>
      </c>
      <c r="C71" s="10" t="s">
        <v>152</v>
      </c>
      <c r="D71" s="11" t="str">
        <f aca="false">IF(B46&lt;&gt;"","✓","—")</f>
        <v>✓</v>
      </c>
    </row>
    <row r="72" customFormat="false" ht="21.75" hidden="false" customHeight="true" outlineLevel="0" collapsed="false">
      <c r="A72" s="13" t="s">
        <v>153</v>
      </c>
    </row>
    <row r="73" customFormat="false" ht="18" hidden="false" customHeight="true" outlineLevel="0" collapsed="false">
      <c r="A73" s="13" t="s">
        <v>154</v>
      </c>
      <c r="B73" s="14"/>
      <c r="C73" s="10"/>
      <c r="D73" s="15" t="str">
        <f aca="false">IF(B48&lt;&gt;"","✓","—")</f>
        <v>✓</v>
      </c>
    </row>
    <row r="74" customFormat="false" ht="18" hidden="false" customHeight="true" outlineLevel="0" collapsed="false">
      <c r="A74" s="13" t="s">
        <v>155</v>
      </c>
      <c r="B74" s="14"/>
      <c r="C74" s="10"/>
      <c r="D74" s="15" t="str">
        <f aca="false">IF(B49&lt;&gt;"","✓","—")</f>
        <v>✓</v>
      </c>
    </row>
    <row r="75" customFormat="false" ht="15" hidden="false" customHeight="true" outlineLevel="0" collapsed="false">
      <c r="A75" s="13" t="s">
        <v>156</v>
      </c>
      <c r="B75" s="6" t="s">
        <v>157</v>
      </c>
      <c r="C75" s="10" t="s">
        <v>158</v>
      </c>
      <c r="D75" s="11" t="str">
        <f aca="false">IF(B50&lt;&gt;"","✓","—")</f>
        <v>✓</v>
      </c>
    </row>
    <row r="76" customFormat="false" ht="15" hidden="false" customHeight="true" outlineLevel="0" collapsed="false">
      <c r="A76" s="13" t="s">
        <v>159</v>
      </c>
      <c r="B76" s="6"/>
      <c r="C76" s="10" t="s">
        <v>160</v>
      </c>
      <c r="D76" s="8" t="str">
        <f aca="false">IF(B51&lt;&gt;"","✓","—")</f>
        <v>—</v>
      </c>
    </row>
    <row r="77" customFormat="false" ht="15" hidden="false" customHeight="true" outlineLevel="0" collapsed="false">
      <c r="A77" s="13" t="s">
        <v>161</v>
      </c>
      <c r="B77" s="6" t="s">
        <v>162</v>
      </c>
      <c r="C77" s="10" t="s">
        <v>163</v>
      </c>
      <c r="D77" s="11" t="str">
        <f aca="false">IF(B52&lt;&gt;"","✓","—")</f>
        <v>—</v>
      </c>
    </row>
    <row r="78" customFormat="false" ht="15" hidden="false" customHeight="true" outlineLevel="0" collapsed="false">
      <c r="A78" s="13" t="s">
        <v>164</v>
      </c>
      <c r="B78" s="6" t="s">
        <v>162</v>
      </c>
      <c r="C78" s="10" t="s">
        <v>163</v>
      </c>
      <c r="D78" s="8" t="str">
        <f aca="false">IF(B53&lt;&gt;"","✓","—")</f>
        <v>—</v>
      </c>
    </row>
    <row r="79" customFormat="false" ht="18" hidden="false" customHeight="true" outlineLevel="0" collapsed="false">
      <c r="A79" s="2" t="s">
        <v>165</v>
      </c>
      <c r="B79" s="2"/>
      <c r="C79" s="2"/>
      <c r="D79" s="2"/>
    </row>
    <row r="80" customFormat="false" ht="15" hidden="false" customHeight="true" outlineLevel="0" collapsed="false">
      <c r="A80" s="13" t="s">
        <v>166</v>
      </c>
      <c r="B80" s="6"/>
      <c r="C80" s="10" t="s">
        <v>167</v>
      </c>
      <c r="D80" s="8" t="str">
        <f aca="false">IF(B55&lt;&gt;"","✓","—")</f>
        <v>✓</v>
      </c>
    </row>
    <row r="81" customFormat="false" ht="15" hidden="false" customHeight="true" outlineLevel="0" collapsed="false">
      <c r="A81" s="12" t="s">
        <v>168</v>
      </c>
      <c r="B81" s="6" t="s">
        <v>169</v>
      </c>
      <c r="C81" s="10" t="s">
        <v>170</v>
      </c>
      <c r="D81" s="11" t="str">
        <f aca="false">IF(B56&lt;&gt;"","✓","—")</f>
        <v>✓</v>
      </c>
    </row>
    <row r="82" customFormat="false" ht="15" hidden="false" customHeight="true" outlineLevel="0" collapsed="false">
      <c r="A82" s="13" t="s">
        <v>171</v>
      </c>
      <c r="B82" s="6"/>
      <c r="C82" s="10" t="s">
        <v>83</v>
      </c>
      <c r="D82" s="8" t="str">
        <f aca="false">IF(B57&lt;&gt;"","✓","—")</f>
        <v>✓</v>
      </c>
    </row>
    <row r="83" customFormat="false" ht="15" hidden="false" customHeight="true" outlineLevel="0" collapsed="false">
      <c r="A83" s="12" t="s">
        <v>172</v>
      </c>
      <c r="B83" s="6"/>
      <c r="C83" s="10" t="s">
        <v>173</v>
      </c>
      <c r="D83" s="11" t="str">
        <f aca="false">IF(B58&lt;&gt;"","✓","—")</f>
        <v>✓</v>
      </c>
    </row>
    <row r="84" customFormat="false" ht="15" hidden="false" customHeight="true" outlineLevel="0" collapsed="false">
      <c r="A84" s="13" t="s">
        <v>174</v>
      </c>
      <c r="B84" s="6"/>
      <c r="C84" s="10" t="s">
        <v>175</v>
      </c>
      <c r="D84" s="8" t="str">
        <f aca="false">IF(B59&lt;&gt;"","✓","—")</f>
        <v>✓</v>
      </c>
    </row>
    <row r="85" customFormat="false" ht="15" hidden="false" customHeight="true" outlineLevel="0" collapsed="false">
      <c r="A85" s="12" t="s">
        <v>176</v>
      </c>
      <c r="B85" s="6"/>
      <c r="C85" s="10" t="s">
        <v>177</v>
      </c>
      <c r="D85" s="11" t="str">
        <f aca="false">IF(B60&lt;&gt;"","✓","—")</f>
        <v>—</v>
      </c>
    </row>
    <row r="86" customFormat="false" ht="18" hidden="false" customHeight="true" outlineLevel="0" collapsed="false">
      <c r="A86" s="2" t="s">
        <v>178</v>
      </c>
      <c r="B86" s="2"/>
      <c r="C86" s="2"/>
      <c r="D86" s="2"/>
    </row>
    <row r="87" customFormat="false" ht="15" hidden="false" customHeight="true" outlineLevel="0" collapsed="false">
      <c r="A87" s="12" t="s">
        <v>179</v>
      </c>
      <c r="B87" s="6" t="s">
        <v>180</v>
      </c>
      <c r="C87" s="10" t="s">
        <v>181</v>
      </c>
      <c r="D87" s="11"/>
    </row>
    <row r="88" customFormat="false" ht="15" hidden="false" customHeight="true" outlineLevel="0" collapsed="false">
      <c r="A88" s="13" t="s">
        <v>182</v>
      </c>
      <c r="B88" s="6" t="s">
        <v>183</v>
      </c>
      <c r="C88" s="10" t="s">
        <v>184</v>
      </c>
      <c r="D88" s="8"/>
    </row>
    <row r="89" customFormat="false" ht="13.5" hidden="false" customHeight="true" outlineLevel="0" collapsed="false">
      <c r="A89" s="13" t="s">
        <v>185</v>
      </c>
      <c r="B89" s="14" t="s">
        <v>186</v>
      </c>
      <c r="C89" s="10"/>
      <c r="D89" s="15" t="str">
        <f aca="false">IF(B62&lt;&gt;"","✓","—")</f>
        <v>✓</v>
      </c>
    </row>
    <row r="90" customFormat="false" ht="13.5" hidden="false" customHeight="true" outlineLevel="0" collapsed="false">
      <c r="A90" s="13" t="s">
        <v>187</v>
      </c>
      <c r="B90" s="14" t="s">
        <v>188</v>
      </c>
      <c r="C90" s="10"/>
      <c r="D90" s="15" t="str">
        <f aca="false">IF(B63&lt;&gt;"","✓","—")</f>
        <v>✓</v>
      </c>
    </row>
    <row r="91" customFormat="false" ht="13.5" hidden="false" customHeight="true" outlineLevel="0" collapsed="false">
      <c r="A91" s="13" t="s">
        <v>189</v>
      </c>
      <c r="B91" s="14" t="s">
        <v>190</v>
      </c>
      <c r="C91" s="10"/>
      <c r="D91" s="15" t="str">
        <f aca="false">IF(B64&lt;&gt;"","✓","—")</f>
        <v>✓</v>
      </c>
    </row>
    <row r="92" customFormat="false" ht="13.5" hidden="false" customHeight="true" outlineLevel="0" collapsed="false">
      <c r="A92" s="13" t="s">
        <v>191</v>
      </c>
      <c r="B92" s="14" t="s">
        <v>192</v>
      </c>
      <c r="C92" s="10"/>
      <c r="D92" s="15" t="str">
        <f aca="false">IF(B65&lt;&gt;"","✓","—")</f>
        <v>✓</v>
      </c>
    </row>
    <row r="93" customFormat="false" ht="13.5" hidden="false" customHeight="true" outlineLevel="0" collapsed="false">
      <c r="A93" s="13" t="s">
        <v>193</v>
      </c>
      <c r="B93" s="14" t="s">
        <v>190</v>
      </c>
      <c r="C93" s="10"/>
      <c r="D93" s="15" t="str">
        <f aca="false">IF(B66&lt;&gt;"","✓","—")</f>
        <v>✓</v>
      </c>
    </row>
    <row r="94" customFormat="false" ht="18" hidden="false" customHeight="true" outlineLevel="0" collapsed="false">
      <c r="A94" s="2" t="s">
        <v>194</v>
      </c>
      <c r="B94" s="2"/>
      <c r="C94" s="2"/>
      <c r="D94" s="2"/>
    </row>
    <row r="95" customFormat="false" ht="15" hidden="false" customHeight="true" outlineLevel="0" collapsed="false">
      <c r="A95" s="12" t="s">
        <v>195</v>
      </c>
      <c r="B95" s="6" t="s">
        <v>196</v>
      </c>
      <c r="C95" s="10" t="s">
        <v>197</v>
      </c>
      <c r="D95" s="11" t="str">
        <f aca="false">IF(B68&lt;&gt;"","✓","—")</f>
        <v>—</v>
      </c>
    </row>
    <row r="96" customFormat="false" ht="15" hidden="false" customHeight="true" outlineLevel="0" collapsed="false">
      <c r="A96" s="13" t="s">
        <v>198</v>
      </c>
      <c r="B96" s="6"/>
      <c r="C96" s="10" t="s">
        <v>199</v>
      </c>
      <c r="D96" s="8" t="str">
        <f aca="false">IF(B69&lt;&gt;"","✓","—")</f>
        <v>—</v>
      </c>
    </row>
    <row r="97" customFormat="false" ht="15" hidden="false" customHeight="true" outlineLevel="0" collapsed="false">
      <c r="A97" s="12" t="s">
        <v>200</v>
      </c>
      <c r="B97" s="6" t="s">
        <v>201</v>
      </c>
      <c r="C97" s="10" t="s">
        <v>202</v>
      </c>
      <c r="D97" s="11" t="str">
        <f aca="false">IF(B70&lt;&gt;"","✓","—")</f>
        <v>—</v>
      </c>
    </row>
    <row r="98" customFormat="false" ht="15" hidden="false" customHeight="true" outlineLevel="0" collapsed="false">
      <c r="A98" s="13" t="s">
        <v>203</v>
      </c>
      <c r="B98" s="6" t="s">
        <v>204</v>
      </c>
      <c r="C98" s="10" t="s">
        <v>205</v>
      </c>
      <c r="D98" s="8" t="str">
        <f aca="false">IF(B71&lt;&gt;"","✓","—")</f>
        <v>✓</v>
      </c>
    </row>
    <row r="99" customFormat="false" ht="18" hidden="false" customHeight="true" outlineLevel="0" collapsed="false">
      <c r="A99" s="2" t="s">
        <v>206</v>
      </c>
      <c r="B99" s="2"/>
      <c r="C99" s="2"/>
      <c r="D99" s="2"/>
    </row>
    <row r="100" customFormat="false" ht="15" hidden="false" customHeight="true" outlineLevel="0" collapsed="false">
      <c r="A100" s="13" t="s">
        <v>207</v>
      </c>
      <c r="B100" s="6" t="s">
        <v>9</v>
      </c>
      <c r="C100" s="10" t="s">
        <v>208</v>
      </c>
      <c r="D100" s="8" t="str">
        <f aca="false">IF(B73&lt;&gt;"","✓","—")</f>
        <v>—</v>
      </c>
    </row>
    <row r="101" customFormat="false" ht="15" hidden="false" customHeight="true" outlineLevel="0" collapsed="false">
      <c r="A101" s="12" t="s">
        <v>209</v>
      </c>
      <c r="B101" s="6" t="s">
        <v>12</v>
      </c>
      <c r="C101" s="10" t="s">
        <v>19</v>
      </c>
      <c r="D101" s="11" t="str">
        <f aca="false">IF(B74&lt;&gt;"","✓","—")</f>
        <v>—</v>
      </c>
    </row>
    <row r="102" customFormat="false" ht="15" hidden="false" customHeight="true" outlineLevel="0" collapsed="false">
      <c r="A102" s="13" t="s">
        <v>210</v>
      </c>
      <c r="B102" s="6" t="s">
        <v>196</v>
      </c>
      <c r="C102" s="10" t="s">
        <v>211</v>
      </c>
      <c r="D102" s="8" t="str">
        <f aca="false">IF(B75&lt;&gt;"","✓","—")</f>
        <v>✓</v>
      </c>
    </row>
    <row r="103" customFormat="false" ht="15" hidden="false" customHeight="true" outlineLevel="0" collapsed="false">
      <c r="A103" s="12" t="s">
        <v>212</v>
      </c>
      <c r="B103" s="6" t="s">
        <v>12</v>
      </c>
      <c r="C103" s="10" t="s">
        <v>213</v>
      </c>
      <c r="D103" s="11" t="str">
        <f aca="false">IF(B76&lt;&gt;"","✓","—")</f>
        <v>—</v>
      </c>
    </row>
    <row r="104" customFormat="false" ht="15" hidden="false" customHeight="true" outlineLevel="0" collapsed="false">
      <c r="A104" s="13" t="s">
        <v>214</v>
      </c>
      <c r="B104" s="6" t="s">
        <v>215</v>
      </c>
      <c r="C104" s="10" t="s">
        <v>216</v>
      </c>
      <c r="D104" s="8" t="str">
        <f aca="false">IF(B77&lt;&gt;"","✓","—")</f>
        <v>✓</v>
      </c>
    </row>
    <row r="105" customFormat="false" ht="15" hidden="false" customHeight="true" outlineLevel="0" collapsed="false">
      <c r="A105" s="12" t="s">
        <v>217</v>
      </c>
      <c r="B105" s="6"/>
      <c r="C105" s="10" t="s">
        <v>72</v>
      </c>
      <c r="D105" s="11" t="str">
        <f aca="false">IF(B78&lt;&gt;"","✓","—")</f>
        <v>✓</v>
      </c>
    </row>
    <row r="106" customFormat="false" ht="15" hidden="false" customHeight="true" outlineLevel="0" collapsed="false">
      <c r="A106" s="13" t="s">
        <v>218</v>
      </c>
      <c r="B106" s="6"/>
      <c r="C106" s="10" t="s">
        <v>72</v>
      </c>
      <c r="D106" s="8" t="str">
        <f aca="false">IF(B79&lt;&gt;"","✓","—")</f>
        <v>—</v>
      </c>
    </row>
    <row r="107" customFormat="false" ht="15" hidden="false" customHeight="true" outlineLevel="0" collapsed="false">
      <c r="A107" s="12" t="s">
        <v>219</v>
      </c>
      <c r="B107" s="6" t="s">
        <v>220</v>
      </c>
      <c r="C107" s="10" t="s">
        <v>221</v>
      </c>
      <c r="D107" s="11" t="str">
        <f aca="false">IF(B80&lt;&gt;"","✓","—")</f>
        <v>—</v>
      </c>
    </row>
    <row r="108" customFormat="false" ht="15" hidden="false" customHeight="true" outlineLevel="0" collapsed="false">
      <c r="A108" s="13" t="s">
        <v>222</v>
      </c>
      <c r="B108" s="6"/>
      <c r="C108" s="10" t="s">
        <v>223</v>
      </c>
      <c r="D108" s="8" t="str">
        <f aca="false">IF(B81&lt;&gt;"","✓","—")</f>
        <v>✓</v>
      </c>
    </row>
    <row r="110" customFormat="false" ht="18" hidden="false" customHeight="true" outlineLevel="0" collapsed="false">
      <c r="A110" s="2" t="s">
        <v>224</v>
      </c>
      <c r="B110" s="2"/>
      <c r="C110" s="2"/>
      <c r="D110" s="2"/>
    </row>
    <row r="111" customFormat="false" ht="17.25" hidden="false" customHeight="true" outlineLevel="0" collapsed="false">
      <c r="A111" s="18" t="s">
        <v>225</v>
      </c>
      <c r="B111" s="19" t="s">
        <v>226</v>
      </c>
      <c r="C111" s="10" t="s">
        <v>227</v>
      </c>
      <c r="D111" s="20" t="str">
        <f aca="false">IF(B111&lt;&gt;"","✓","—")</f>
        <v>✓</v>
      </c>
    </row>
    <row r="112" customFormat="false" ht="17.25" hidden="false" customHeight="true" outlineLevel="0" collapsed="false">
      <c r="A112" s="21" t="s">
        <v>228</v>
      </c>
      <c r="B112" s="19" t="s">
        <v>229</v>
      </c>
      <c r="C112" s="10" t="s">
        <v>230</v>
      </c>
      <c r="D112" s="22" t="str">
        <f aca="false">IF(B112&lt;&gt;"","✓","—")</f>
        <v>✓</v>
      </c>
    </row>
    <row r="113" customFormat="false" ht="16.5" hidden="false" customHeight="true" outlineLevel="0" collapsed="false">
      <c r="A113" s="18" t="s">
        <v>231</v>
      </c>
      <c r="B113" s="19" t="s">
        <v>232</v>
      </c>
      <c r="C113" s="10" t="s">
        <v>233</v>
      </c>
      <c r="D113" s="20" t="str">
        <f aca="false">IF(B113&lt;&gt;"","✓","—")</f>
        <v>✓</v>
      </c>
    </row>
    <row r="114" customFormat="false" ht="17.25" hidden="false" customHeight="true" outlineLevel="0" collapsed="false">
      <c r="A114" s="21" t="s">
        <v>234</v>
      </c>
      <c r="B114" s="19" t="s">
        <v>235</v>
      </c>
      <c r="C114" s="10" t="s">
        <v>236</v>
      </c>
      <c r="D114" s="22" t="str">
        <f aca="false">IF(B114&lt;&gt;"","✓","—")</f>
        <v>✓</v>
      </c>
    </row>
    <row r="115" customFormat="false" ht="17.25" hidden="false" customHeight="true" outlineLevel="0" collapsed="false">
      <c r="A115" s="18" t="s">
        <v>237</v>
      </c>
      <c r="B115" s="19" t="s">
        <v>137</v>
      </c>
      <c r="C115" s="10" t="s">
        <v>238</v>
      </c>
      <c r="D115" s="20" t="str">
        <f aca="false">IF(B115&lt;&gt;"","✓","—")</f>
        <v>✓</v>
      </c>
    </row>
    <row r="116" customFormat="false" ht="17.25" hidden="false" customHeight="true" outlineLevel="0" collapsed="false">
      <c r="A116" s="21" t="s">
        <v>239</v>
      </c>
      <c r="B116" s="19" t="s">
        <v>240</v>
      </c>
      <c r="C116" s="10" t="s">
        <v>241</v>
      </c>
      <c r="D116" s="22" t="str">
        <f aca="false">IF(B116&lt;&gt;"","✓","—")</f>
        <v>✓</v>
      </c>
    </row>
    <row r="117" customFormat="false" ht="17.25" hidden="false" customHeight="true" outlineLevel="0" collapsed="false">
      <c r="A117" s="18" t="s">
        <v>242</v>
      </c>
      <c r="B117" s="19" t="s">
        <v>243</v>
      </c>
      <c r="C117" s="10" t="s">
        <v>244</v>
      </c>
      <c r="D117" s="20" t="str">
        <f aca="false">IF(B117&lt;&gt;"","✓","—")</f>
        <v>✓</v>
      </c>
    </row>
    <row r="118" customFormat="false" ht="17.25" hidden="false" customHeight="true" outlineLevel="0" collapsed="false">
      <c r="A118" s="21" t="s">
        <v>245</v>
      </c>
      <c r="B118" s="19"/>
      <c r="C118" s="10" t="s">
        <v>246</v>
      </c>
      <c r="D118" s="22" t="str">
        <f aca="false">IF(B118&lt;&gt;"","✓","—")</f>
        <v>—</v>
      </c>
    </row>
    <row r="119" customFormat="false" ht="17.25" hidden="false" customHeight="true" outlineLevel="0" collapsed="false">
      <c r="A119" s="18" t="s">
        <v>247</v>
      </c>
      <c r="B119" s="19" t="s">
        <v>248</v>
      </c>
      <c r="C119" s="10" t="s">
        <v>249</v>
      </c>
      <c r="D119" s="20" t="str">
        <f aca="false">IF(B119&lt;&gt;"","✓","—")</f>
        <v>✓</v>
      </c>
    </row>
    <row r="120" customFormat="false" ht="17.25" hidden="false" customHeight="true" outlineLevel="0" collapsed="false">
      <c r="A120" s="21" t="s">
        <v>250</v>
      </c>
      <c r="B120" s="19" t="s">
        <v>251</v>
      </c>
      <c r="C120" s="10" t="s">
        <v>249</v>
      </c>
      <c r="D120" s="22" t="str">
        <f aca="false">IF(B120&lt;&gt;"","✓","—")</f>
        <v>✓</v>
      </c>
    </row>
    <row r="121" customFormat="false" ht="18" hidden="false" customHeight="true" outlineLevel="0" collapsed="false">
      <c r="A121" s="23" t="s">
        <v>252</v>
      </c>
      <c r="B121" s="23"/>
      <c r="C121" s="23"/>
      <c r="D121" s="23"/>
    </row>
    <row r="122" customFormat="false" ht="17.25" hidden="false" customHeight="true" outlineLevel="0" collapsed="false">
      <c r="A122" s="18" t="s">
        <v>253</v>
      </c>
      <c r="B122" s="19" t="s">
        <v>254</v>
      </c>
      <c r="C122" s="10" t="s">
        <v>255</v>
      </c>
      <c r="D122" s="20" t="str">
        <f aca="false">IF(B122&lt;&gt;"","✓","—")</f>
        <v>✓</v>
      </c>
    </row>
    <row r="123" customFormat="false" ht="17.25" hidden="false" customHeight="true" outlineLevel="0" collapsed="false">
      <c r="A123" s="21" t="s">
        <v>256</v>
      </c>
      <c r="B123" s="19" t="s">
        <v>257</v>
      </c>
      <c r="C123" s="10" t="s">
        <v>258</v>
      </c>
      <c r="D123" s="22" t="str">
        <f aca="false">IF(B123&lt;&gt;"","✓","—")</f>
        <v>✓</v>
      </c>
    </row>
    <row r="124" customFormat="false" ht="17.25" hidden="false" customHeight="true" outlineLevel="0" collapsed="false">
      <c r="A124" s="18" t="s">
        <v>259</v>
      </c>
      <c r="B124" s="19" t="s">
        <v>260</v>
      </c>
      <c r="C124" s="10" t="s">
        <v>261</v>
      </c>
      <c r="D124" s="20" t="str">
        <f aca="false">IF(B124&lt;&gt;"","✓","—")</f>
        <v>✓</v>
      </c>
    </row>
    <row r="125" customFormat="false" ht="17.25" hidden="false" customHeight="true" outlineLevel="0" collapsed="false">
      <c r="A125" s="21" t="s">
        <v>262</v>
      </c>
      <c r="B125" s="19" t="s">
        <v>263</v>
      </c>
      <c r="C125" s="10" t="s">
        <v>264</v>
      </c>
      <c r="D125" s="22" t="str">
        <f aca="false">IF(B125&lt;&gt;"","✓","—")</f>
        <v>✓</v>
      </c>
    </row>
    <row r="126" customFormat="false" ht="17.25" hidden="false" customHeight="true" outlineLevel="0" collapsed="false">
      <c r="A126" s="18" t="s">
        <v>265</v>
      </c>
      <c r="B126" s="19" t="s">
        <v>266</v>
      </c>
      <c r="C126" s="10" t="s">
        <v>267</v>
      </c>
      <c r="D126" s="20" t="str">
        <f aca="false">IF(B126&lt;&gt;"","✓","—")</f>
        <v>✓</v>
      </c>
    </row>
    <row r="127" customFormat="false" ht="17.25" hidden="false" customHeight="true" outlineLevel="0" collapsed="false">
      <c r="A127" s="21" t="s">
        <v>268</v>
      </c>
      <c r="B127" s="19" t="s">
        <v>269</v>
      </c>
      <c r="C127" s="10" t="s">
        <v>270</v>
      </c>
      <c r="D127" s="22" t="str">
        <f aca="false">IF(B127&lt;&gt;"","✓","—")</f>
        <v>✓</v>
      </c>
    </row>
    <row r="128" customFormat="false" ht="17.25" hidden="false" customHeight="true" outlineLevel="0" collapsed="false">
      <c r="A128" s="18" t="s">
        <v>271</v>
      </c>
      <c r="B128" s="19" t="s">
        <v>272</v>
      </c>
      <c r="C128" s="10" t="s">
        <v>273</v>
      </c>
      <c r="D128" s="20" t="str">
        <f aca="false">IF(B128&lt;&gt;"","✓","—")</f>
        <v>✓</v>
      </c>
    </row>
    <row r="129" customFormat="false" ht="17.25" hidden="false" customHeight="true" outlineLevel="0" collapsed="false">
      <c r="A129" s="21" t="s">
        <v>274</v>
      </c>
      <c r="B129" s="19" t="s">
        <v>275</v>
      </c>
      <c r="C129" s="10" t="s">
        <v>276</v>
      </c>
      <c r="D129" s="22" t="str">
        <f aca="false">IF(B129&lt;&gt;"","✓","—")</f>
        <v>✓</v>
      </c>
    </row>
    <row r="130" customFormat="false" ht="17.25" hidden="false" customHeight="true" outlineLevel="0" collapsed="false">
      <c r="A130" s="18" t="s">
        <v>277</v>
      </c>
      <c r="B130" s="19" t="s">
        <v>278</v>
      </c>
      <c r="C130" s="10" t="s">
        <v>279</v>
      </c>
      <c r="D130" s="20" t="str">
        <f aca="false">IF(B130&lt;&gt;"","✓","—")</f>
        <v>✓</v>
      </c>
    </row>
    <row r="131" customFormat="false" ht="17.25" hidden="false" customHeight="true" outlineLevel="0" collapsed="false">
      <c r="A131" s="21" t="s">
        <v>280</v>
      </c>
      <c r="B131" s="19" t="s">
        <v>281</v>
      </c>
      <c r="C131" s="10" t="s">
        <v>282</v>
      </c>
      <c r="D131" s="22" t="str">
        <f aca="false">IF(B131&lt;&gt;"","✓","—")</f>
        <v>✓</v>
      </c>
    </row>
    <row r="132" customFormat="false" ht="17.25" hidden="false" customHeight="true" outlineLevel="0" collapsed="false">
      <c r="A132" s="18" t="s">
        <v>283</v>
      </c>
      <c r="B132" s="19" t="s">
        <v>284</v>
      </c>
      <c r="C132" s="10" t="s">
        <v>285</v>
      </c>
      <c r="D132" s="20" t="str">
        <f aca="false">IF(B132&lt;&gt;"","✓","—")</f>
        <v>✓</v>
      </c>
    </row>
    <row r="133" customFormat="false" ht="17.25" hidden="false" customHeight="true" outlineLevel="0" collapsed="false">
      <c r="A133" s="21" t="s">
        <v>286</v>
      </c>
      <c r="B133" s="19" t="s">
        <v>287</v>
      </c>
      <c r="C133" s="10" t="s">
        <v>288</v>
      </c>
      <c r="D133" s="22" t="str">
        <f aca="false">IF(B133&lt;&gt;"","✓","—")</f>
        <v>✓</v>
      </c>
    </row>
    <row r="134" customFormat="false" ht="17.25" hidden="false" customHeight="true" outlineLevel="0" collapsed="false">
      <c r="A134" s="18" t="s">
        <v>289</v>
      </c>
      <c r="B134" s="19" t="s">
        <v>290</v>
      </c>
      <c r="C134" s="10" t="s">
        <v>109</v>
      </c>
      <c r="D134" s="20" t="str">
        <f aca="false">IF(B134&lt;&gt;"","✓","—")</f>
        <v>✓</v>
      </c>
    </row>
    <row r="135" customFormat="false" ht="17.25" hidden="false" customHeight="true" outlineLevel="0" collapsed="false">
      <c r="A135" s="21" t="s">
        <v>291</v>
      </c>
      <c r="B135" s="19" t="s">
        <v>292</v>
      </c>
      <c r="C135" s="10" t="s">
        <v>293</v>
      </c>
      <c r="D135" s="22" t="str">
        <f aca="false">IF(B135&lt;&gt;"","✓","—")</f>
        <v>✓</v>
      </c>
    </row>
    <row r="136" customFormat="false" ht="16.5" hidden="false" customHeight="true" outlineLevel="0" collapsed="false">
      <c r="A136" s="18" t="s">
        <v>294</v>
      </c>
      <c r="B136" s="19" t="s">
        <v>295</v>
      </c>
      <c r="C136" s="10" t="s">
        <v>296</v>
      </c>
      <c r="D136" s="20" t="str">
        <f aca="false">IF(B136&lt;&gt;"","✓","—")</f>
        <v>✓</v>
      </c>
    </row>
    <row r="137" customFormat="false" ht="17.25" hidden="false" customHeight="true" outlineLevel="0" collapsed="false">
      <c r="A137" s="21" t="s">
        <v>297</v>
      </c>
      <c r="B137" s="19" t="s">
        <v>298</v>
      </c>
      <c r="C137" s="10" t="s">
        <v>299</v>
      </c>
      <c r="D137" s="22" t="str">
        <f aca="false">IF(B137&lt;&gt;"","✓","—")</f>
        <v>✓</v>
      </c>
    </row>
    <row r="138" customFormat="false" ht="17.25" hidden="false" customHeight="true" outlineLevel="0" collapsed="false">
      <c r="A138" s="18" t="s">
        <v>300</v>
      </c>
      <c r="B138" s="19" t="s">
        <v>301</v>
      </c>
      <c r="C138" s="10" t="s">
        <v>302</v>
      </c>
      <c r="D138" s="20" t="str">
        <f aca="false">IF(B138&lt;&gt;"","✓","—")</f>
        <v>✓</v>
      </c>
    </row>
    <row r="139" customFormat="false" ht="18" hidden="false" customHeight="true" outlineLevel="0" collapsed="false">
      <c r="A139" s="2" t="s">
        <v>303</v>
      </c>
      <c r="B139" s="2"/>
      <c r="C139" s="2"/>
      <c r="D139" s="2"/>
    </row>
    <row r="140" customFormat="false" ht="17.25" hidden="false" customHeight="true" outlineLevel="0" collapsed="false">
      <c r="A140" s="18" t="s">
        <v>304</v>
      </c>
      <c r="B140" s="19" t="s">
        <v>305</v>
      </c>
      <c r="C140" s="10" t="s">
        <v>306</v>
      </c>
      <c r="D140" s="20" t="str">
        <f aca="false">IF(B140&lt;&gt;"","✓","—")</f>
        <v>✓</v>
      </c>
    </row>
    <row r="141" customFormat="false" ht="17.25" hidden="false" customHeight="true" outlineLevel="0" collapsed="false">
      <c r="A141" s="21" t="s">
        <v>307</v>
      </c>
      <c r="B141" s="19" t="s">
        <v>308</v>
      </c>
      <c r="C141" s="10" t="s">
        <v>309</v>
      </c>
      <c r="D141" s="22" t="str">
        <f aca="false">IF(B141&lt;&gt;"","✓","—")</f>
        <v>✓</v>
      </c>
    </row>
    <row r="142" customFormat="false" ht="17.25" hidden="false" customHeight="true" outlineLevel="0" collapsed="false">
      <c r="A142" s="18" t="s">
        <v>310</v>
      </c>
      <c r="B142" s="19" t="s">
        <v>311</v>
      </c>
      <c r="C142" s="10" t="s">
        <v>312</v>
      </c>
      <c r="D142" s="20" t="str">
        <f aca="false">IF(B142&lt;&gt;"","✓","—")</f>
        <v>✓</v>
      </c>
    </row>
    <row r="143" customFormat="false" ht="17.25" hidden="false" customHeight="true" outlineLevel="0" collapsed="false">
      <c r="A143" s="21" t="s">
        <v>313</v>
      </c>
      <c r="B143" s="19" t="s">
        <v>314</v>
      </c>
      <c r="C143" s="10" t="s">
        <v>315</v>
      </c>
      <c r="D143" s="22" t="str">
        <f aca="false">IF(B143&lt;&gt;"","✓","—")</f>
        <v>✓</v>
      </c>
    </row>
    <row r="144" customFormat="false" ht="17.25" hidden="false" customHeight="true" outlineLevel="0" collapsed="false">
      <c r="A144" s="18" t="s">
        <v>316</v>
      </c>
      <c r="B144" s="19" t="s">
        <v>317</v>
      </c>
      <c r="C144" s="10" t="s">
        <v>318</v>
      </c>
      <c r="D144" s="20" t="str">
        <f aca="false">IF(B144&lt;&gt;"","✓","—")</f>
        <v>✓</v>
      </c>
    </row>
    <row r="145" customFormat="false" ht="17.25" hidden="false" customHeight="true" outlineLevel="0" collapsed="false">
      <c r="A145" s="21" t="s">
        <v>319</v>
      </c>
      <c r="B145" s="19" t="s">
        <v>320</v>
      </c>
      <c r="C145" s="10" t="s">
        <v>321</v>
      </c>
      <c r="D145" s="22" t="str">
        <f aca="false">IF(B145&lt;&gt;"","✓","—")</f>
        <v>✓</v>
      </c>
    </row>
    <row r="146" customFormat="false" ht="17.25" hidden="false" customHeight="true" outlineLevel="0" collapsed="false">
      <c r="A146" s="18" t="s">
        <v>322</v>
      </c>
      <c r="B146" s="19" t="s">
        <v>323</v>
      </c>
      <c r="C146" s="10" t="s">
        <v>324</v>
      </c>
      <c r="D146" s="20" t="str">
        <f aca="false">IF(B146&lt;&gt;"","✓","—")</f>
        <v>✓</v>
      </c>
    </row>
    <row r="147" customFormat="false" ht="17.25" hidden="false" customHeight="true" outlineLevel="0" collapsed="false">
      <c r="A147" s="21" t="s">
        <v>325</v>
      </c>
      <c r="B147" s="19" t="s">
        <v>326</v>
      </c>
      <c r="C147" s="10" t="s">
        <v>327</v>
      </c>
      <c r="D147" s="22" t="str">
        <f aca="false">IF(B147&lt;&gt;"","✓","—")</f>
        <v>✓</v>
      </c>
    </row>
    <row r="148" customFormat="false" ht="17.25" hidden="false" customHeight="true" outlineLevel="0" collapsed="false">
      <c r="A148" s="18" t="s">
        <v>328</v>
      </c>
      <c r="B148" s="19" t="s">
        <v>329</v>
      </c>
      <c r="C148" s="10" t="s">
        <v>330</v>
      </c>
      <c r="D148" s="20" t="str">
        <f aca="false">IF(B148&lt;&gt;"","✓","—")</f>
        <v>✓</v>
      </c>
    </row>
    <row r="149" customFormat="false" ht="17.25" hidden="false" customHeight="true" outlineLevel="0" collapsed="false">
      <c r="A149" s="21" t="s">
        <v>331</v>
      </c>
      <c r="B149" s="19" t="s">
        <v>301</v>
      </c>
      <c r="C149" s="10" t="s">
        <v>332</v>
      </c>
      <c r="D149" s="22" t="str">
        <f aca="false">IF(B149&lt;&gt;"","✓","—")</f>
        <v>✓</v>
      </c>
    </row>
    <row r="150" customFormat="false" ht="17.25" hidden="false" customHeight="true" outlineLevel="0" collapsed="false">
      <c r="A150" s="18" t="s">
        <v>333</v>
      </c>
      <c r="B150" s="19" t="s">
        <v>301</v>
      </c>
      <c r="C150" s="10" t="s">
        <v>332</v>
      </c>
      <c r="D150" s="20" t="str">
        <f aca="false">IF(B150&lt;&gt;"","✓","—")</f>
        <v>✓</v>
      </c>
    </row>
    <row r="151" customFormat="false" ht="17.25" hidden="false" customHeight="true" outlineLevel="0" collapsed="false">
      <c r="A151" s="21" t="s">
        <v>334</v>
      </c>
      <c r="B151" s="19" t="s">
        <v>301</v>
      </c>
      <c r="C151" s="10" t="s">
        <v>335</v>
      </c>
      <c r="D151" s="22" t="str">
        <f aca="false">IF(B151&lt;&gt;"","✓","—")</f>
        <v>✓</v>
      </c>
    </row>
    <row r="152" customFormat="false" ht="17.25" hidden="false" customHeight="true" outlineLevel="0" collapsed="false">
      <c r="A152" s="18" t="s">
        <v>336</v>
      </c>
      <c r="B152" s="19" t="s">
        <v>108</v>
      </c>
      <c r="C152" s="10" t="s">
        <v>109</v>
      </c>
      <c r="D152" s="20" t="str">
        <f aca="false">IF(B152&lt;&gt;"","✓","—")</f>
        <v>✓</v>
      </c>
    </row>
    <row r="153" customFormat="false" ht="17.25" hidden="false" customHeight="true" outlineLevel="0" collapsed="false">
      <c r="A153" s="21" t="s">
        <v>337</v>
      </c>
      <c r="B153" s="19" t="s">
        <v>108</v>
      </c>
      <c r="C153" s="10" t="s">
        <v>109</v>
      </c>
      <c r="D153" s="22" t="str">
        <f aca="false">IF(B153&lt;&gt;"","✓","—")</f>
        <v>✓</v>
      </c>
    </row>
    <row r="154" customFormat="false" ht="17.25" hidden="false" customHeight="true" outlineLevel="0" collapsed="false">
      <c r="A154" s="18" t="s">
        <v>338</v>
      </c>
      <c r="B154" s="19" t="s">
        <v>108</v>
      </c>
      <c r="C154" s="10" t="s">
        <v>109</v>
      </c>
      <c r="D154" s="20" t="str">
        <f aca="false">IF(B154&lt;&gt;"","✓","—")</f>
        <v>✓</v>
      </c>
    </row>
    <row r="155" customFormat="false" ht="6" hidden="false" customHeight="true" outlineLevel="0" collapsed="false"/>
  </sheetData>
  <mergeCells count="17">
    <mergeCell ref="A1:D1"/>
    <mergeCell ref="A3:D3"/>
    <mergeCell ref="A4:D4"/>
    <mergeCell ref="A5:D5"/>
    <mergeCell ref="A12:D12"/>
    <mergeCell ref="A19:D19"/>
    <mergeCell ref="A29:D29"/>
    <mergeCell ref="A42:D42"/>
    <mergeCell ref="A53:D53"/>
    <mergeCell ref="A61:D61"/>
    <mergeCell ref="A79:D79"/>
    <mergeCell ref="A86:D86"/>
    <mergeCell ref="A94:D94"/>
    <mergeCell ref="A99:D99"/>
    <mergeCell ref="A110:D110"/>
    <mergeCell ref="A121:D121"/>
    <mergeCell ref="A139:D139"/>
  </mergeCells>
  <dataValidations count="1">
    <dataValidation allowBlank="true" errorStyle="stop" operator="between" showDropDown="false" showErrorMessage="false" showInputMessage="false" sqref="B42:B44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2.7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9"/>
    <col collapsed="false" customWidth="true" hidden="false" outlineLevel="0" max="3" min="3" style="1" width="12.56"/>
    <col collapsed="false" customWidth="true" hidden="false" outlineLevel="0" max="4" min="4" style="1" width="16"/>
    <col collapsed="false" customWidth="true" hidden="false" outlineLevel="0" max="5" min="5" style="1" width="13"/>
    <col collapsed="false" customWidth="true" hidden="false" outlineLevel="0" max="6" min="6" style="1" width="12"/>
    <col collapsed="false" customWidth="true" hidden="false" outlineLevel="0" max="9" min="7" style="1" width="10"/>
    <col collapsed="false" customWidth="true" hidden="false" outlineLevel="0" max="10" min="10" style="1" width="11"/>
    <col collapsed="false" customWidth="true" hidden="false" outlineLevel="0" max="11" min="11" style="1" width="10"/>
    <col collapsed="false" customWidth="true" hidden="false" outlineLevel="0" max="12" min="12" style="1" width="13"/>
  </cols>
  <sheetData>
    <row r="2" customFormat="false" ht="19.5" hidden="false" customHeight="true" outlineLevel="0" collapsed="false">
      <c r="B2" s="24" t="s">
        <v>339</v>
      </c>
      <c r="C2" s="24"/>
      <c r="D2" s="24"/>
      <c r="E2" s="24"/>
      <c r="F2" s="24"/>
      <c r="G2" s="24"/>
      <c r="H2" s="24"/>
    </row>
    <row r="3" customFormat="false" ht="27.75" hidden="false" customHeight="true" outlineLevel="0" collapsed="false">
      <c r="B3" s="25" t="s">
        <v>340</v>
      </c>
      <c r="C3" s="25" t="s">
        <v>341</v>
      </c>
      <c r="D3" s="25" t="s">
        <v>342</v>
      </c>
      <c r="E3" s="25" t="s">
        <v>343</v>
      </c>
      <c r="F3" s="25" t="s">
        <v>344</v>
      </c>
      <c r="G3" s="25" t="s">
        <v>345</v>
      </c>
      <c r="H3" s="25" t="s">
        <v>346</v>
      </c>
      <c r="I3" s="26" t="s">
        <v>347</v>
      </c>
      <c r="J3" s="26" t="s">
        <v>348</v>
      </c>
      <c r="K3" s="26" t="s">
        <v>349</v>
      </c>
      <c r="L3" s="26" t="s">
        <v>350</v>
      </c>
    </row>
    <row r="4" customFormat="false" ht="15" hidden="false" customHeight="true" outlineLevel="0" collapsed="false">
      <c r="B4" s="13" t="str">
        <f aca="false">Intake!B20</f>
        <v>100 Example Commerce Way</v>
      </c>
      <c r="C4" s="13" t="str">
        <f aca="false">Intake!B21</f>
        <v>Sample City</v>
      </c>
      <c r="D4" s="27" t="str">
        <f aca="false">Intake!B32</f>
        <v>22,668</v>
      </c>
      <c r="E4" s="28" t="str">
        <f aca="false">Intake!B30</f>
        <v>1980</v>
      </c>
      <c r="F4" s="13" t="str">
        <f aca="false">Intake!B26</f>
        <v>Multi-Tenant Office</v>
      </c>
      <c r="G4" s="13" t="n">
        <f aca="false">Intake!B40</f>
        <v>0</v>
      </c>
      <c r="H4" s="13" t="str">
        <f aca="false">Intake!B112</f>
        <v>Class B</v>
      </c>
      <c r="I4" s="29"/>
      <c r="J4" s="29"/>
      <c r="K4" s="8" t="str">
        <f aca="false">Intake!B147</f>
        <v>Zone X</v>
      </c>
      <c r="L4" s="29"/>
      <c r="M4" s="13"/>
      <c r="N4" s="13"/>
      <c r="O4" s="13"/>
      <c r="P4" s="13"/>
      <c r="Q4" s="13"/>
    </row>
    <row r="5" customFormat="false" ht="6" hidden="false" customHeight="true" outlineLevel="0" collapsed="false"/>
    <row r="6" customFormat="false" ht="6" hidden="false" customHeight="true" outlineLevel="0" collapsed="false"/>
    <row r="7" customFormat="false" ht="19.5" hidden="false" customHeight="true" outlineLevel="0" collapsed="false">
      <c r="B7" s="30" t="s">
        <v>351</v>
      </c>
      <c r="C7" s="30"/>
      <c r="D7" s="30"/>
      <c r="E7" s="30"/>
      <c r="F7" s="30"/>
      <c r="G7" s="30"/>
      <c r="H7" s="30"/>
      <c r="I7" s="30"/>
      <c r="J7" s="30"/>
      <c r="K7" s="30"/>
      <c r="L7" s="30"/>
    </row>
    <row r="8" customFormat="false" ht="30" hidden="false" customHeight="true" outlineLevel="0" collapsed="false">
      <c r="B8" s="31" t="s">
        <v>352</v>
      </c>
      <c r="C8" s="31" t="s">
        <v>353</v>
      </c>
      <c r="D8" s="31" t="s">
        <v>354</v>
      </c>
      <c r="E8" s="31" t="s">
        <v>355</v>
      </c>
      <c r="F8" s="31" t="s">
        <v>342</v>
      </c>
      <c r="G8" s="31" t="s">
        <v>356</v>
      </c>
      <c r="H8" s="31" t="s">
        <v>357</v>
      </c>
      <c r="I8" s="31" t="s">
        <v>358</v>
      </c>
      <c r="J8" s="31" t="s">
        <v>349</v>
      </c>
      <c r="K8" s="31" t="s">
        <v>350</v>
      </c>
      <c r="L8" s="31" t="s">
        <v>343</v>
      </c>
    </row>
    <row r="9" customFormat="false" ht="15" hidden="false" customHeight="true" outlineLevel="0" collapsed="false">
      <c r="B9" s="13" t="n">
        <v>1</v>
      </c>
      <c r="C9" s="32"/>
      <c r="D9" s="13"/>
      <c r="E9" s="33"/>
      <c r="F9" s="27"/>
      <c r="G9" s="34" t="e">
        <f aca="false">E9/F9</f>
        <v>#DIV/0!</v>
      </c>
      <c r="H9" s="35"/>
      <c r="I9" s="34"/>
      <c r="J9" s="28"/>
      <c r="K9" s="36"/>
      <c r="L9" s="28"/>
      <c r="M9" s="37"/>
      <c r="N9" s="37"/>
      <c r="O9" s="37"/>
      <c r="P9" s="37"/>
      <c r="Q9" s="37"/>
    </row>
    <row r="10" customFormat="false" ht="15" hidden="false" customHeight="true" outlineLevel="0" collapsed="false">
      <c r="B10" s="12" t="n">
        <v>2</v>
      </c>
      <c r="C10" s="38"/>
      <c r="D10" s="12"/>
      <c r="E10" s="39"/>
      <c r="F10" s="40"/>
      <c r="G10" s="41" t="e">
        <f aca="false">E10/F10</f>
        <v>#DIV/0!</v>
      </c>
      <c r="H10" s="42"/>
      <c r="I10" s="41"/>
      <c r="J10" s="43"/>
      <c r="K10" s="44"/>
      <c r="L10" s="43"/>
      <c r="M10" s="37"/>
      <c r="N10" s="37"/>
      <c r="O10" s="37"/>
      <c r="P10" s="37"/>
      <c r="Q10" s="37"/>
    </row>
    <row r="11" customFormat="false" ht="15" hidden="false" customHeight="true" outlineLevel="0" collapsed="false">
      <c r="B11" s="13" t="n">
        <v>3</v>
      </c>
      <c r="C11" s="32"/>
      <c r="D11" s="13"/>
      <c r="E11" s="33"/>
      <c r="F11" s="27"/>
      <c r="G11" s="34" t="e">
        <f aca="false">E11/F11</f>
        <v>#DIV/0!</v>
      </c>
      <c r="H11" s="45"/>
      <c r="I11" s="45"/>
      <c r="J11" s="28"/>
      <c r="K11" s="36"/>
      <c r="L11" s="28"/>
      <c r="M11" s="37"/>
      <c r="N11" s="37"/>
      <c r="O11" s="37"/>
      <c r="P11" s="37"/>
      <c r="Q11" s="37"/>
    </row>
    <row r="12" customFormat="false" ht="15" hidden="false" customHeight="true" outlineLevel="0" collapsed="false">
      <c r="B12" s="12" t="n">
        <v>4</v>
      </c>
      <c r="C12" s="38"/>
      <c r="D12" s="12"/>
      <c r="E12" s="39"/>
      <c r="F12" s="40"/>
      <c r="G12" s="41" t="e">
        <f aca="false">E12/F12</f>
        <v>#DIV/0!</v>
      </c>
      <c r="H12" s="42"/>
      <c r="I12" s="41"/>
      <c r="J12" s="43"/>
      <c r="K12" s="44"/>
      <c r="L12" s="43"/>
      <c r="M12" s="37"/>
      <c r="N12" s="37"/>
      <c r="O12" s="37"/>
      <c r="P12" s="37"/>
      <c r="Q12" s="37"/>
    </row>
    <row r="13" customFormat="false" ht="15" hidden="false" customHeight="true" outlineLevel="0" collapsed="false">
      <c r="B13" s="13" t="n">
        <v>5</v>
      </c>
      <c r="C13" s="32"/>
      <c r="D13" s="13"/>
      <c r="E13" s="33"/>
      <c r="F13" s="27"/>
      <c r="G13" s="34" t="e">
        <f aca="false">E13/F13</f>
        <v>#DIV/0!</v>
      </c>
      <c r="H13" s="35"/>
      <c r="I13" s="34"/>
      <c r="J13" s="28"/>
      <c r="K13" s="36"/>
      <c r="L13" s="28"/>
      <c r="M13" s="37"/>
      <c r="N13" s="37"/>
      <c r="O13" s="37"/>
      <c r="P13" s="37"/>
      <c r="Q13" s="37"/>
    </row>
    <row r="14" customFormat="false" ht="15" hidden="false" customHeight="true" outlineLevel="0" collapsed="false">
      <c r="B14" s="12" t="n">
        <v>6</v>
      </c>
      <c r="C14" s="38"/>
      <c r="D14" s="12"/>
      <c r="E14" s="39"/>
      <c r="F14" s="40"/>
      <c r="G14" s="41" t="e">
        <f aca="false">E14/F14</f>
        <v>#DIV/0!</v>
      </c>
      <c r="H14" s="46"/>
      <c r="I14" s="46"/>
      <c r="J14" s="43"/>
      <c r="K14" s="44"/>
      <c r="L14" s="43"/>
      <c r="M14" s="37"/>
      <c r="N14" s="37"/>
      <c r="O14" s="37"/>
      <c r="P14" s="37"/>
      <c r="Q14" s="37"/>
    </row>
    <row r="15" customFormat="false" ht="15" hidden="false" customHeight="true" outlineLevel="0" collapsed="false">
      <c r="B15" s="13" t="n">
        <v>7</v>
      </c>
      <c r="C15" s="32"/>
      <c r="D15" s="13"/>
      <c r="E15" s="33"/>
      <c r="F15" s="27"/>
      <c r="G15" s="34" t="e">
        <f aca="false">E15/F15</f>
        <v>#DIV/0!</v>
      </c>
      <c r="H15" s="45"/>
      <c r="I15" s="45"/>
      <c r="J15" s="28"/>
      <c r="K15" s="36"/>
      <c r="L15" s="28"/>
      <c r="M15" s="37"/>
      <c r="N15" s="37"/>
      <c r="O15" s="37"/>
      <c r="P15" s="37"/>
      <c r="Q15" s="37"/>
    </row>
    <row r="16" customFormat="false" ht="6" hidden="false" customHeight="true" outlineLevel="0" collapsed="false"/>
    <row r="17" customFormat="false" ht="6" hidden="false" customHeight="true" outlineLevel="0" collapsed="false"/>
    <row r="18" customFormat="false" ht="19.5" hidden="false" customHeight="true" outlineLevel="0" collapsed="false">
      <c r="B18" s="30" t="s">
        <v>359</v>
      </c>
      <c r="C18" s="30"/>
      <c r="D18" s="30"/>
      <c r="E18" s="30"/>
      <c r="F18" s="30"/>
      <c r="G18" s="30"/>
      <c r="H18" s="30"/>
      <c r="I18" s="30"/>
      <c r="J18" s="30"/>
    </row>
    <row r="19" customFormat="false" ht="30" hidden="false" customHeight="true" outlineLevel="0" collapsed="false">
      <c r="B19" s="31" t="s">
        <v>352</v>
      </c>
      <c r="C19" s="31" t="s">
        <v>360</v>
      </c>
      <c r="D19" s="31" t="s">
        <v>361</v>
      </c>
      <c r="E19" s="31" t="s">
        <v>362</v>
      </c>
      <c r="F19" s="31" t="s">
        <v>363</v>
      </c>
      <c r="G19" s="31" t="s">
        <v>364</v>
      </c>
      <c r="H19" s="31" t="s">
        <v>365</v>
      </c>
      <c r="I19" s="31" t="s">
        <v>366</v>
      </c>
      <c r="J19" s="31" t="s">
        <v>367</v>
      </c>
    </row>
    <row r="20" customFormat="false" ht="15" hidden="false" customHeight="true" outlineLevel="0" collapsed="false">
      <c r="B20" s="13" t="n">
        <f aca="false">B9</f>
        <v>1</v>
      </c>
      <c r="C20" s="34" t="e">
        <f aca="false">G9</f>
        <v>#DIV/0!</v>
      </c>
      <c r="D20" s="35" t="n">
        <v>0</v>
      </c>
      <c r="E20" s="34" t="e">
        <f aca="false">C20*(1+D20)</f>
        <v>#DIV/0!</v>
      </c>
      <c r="F20" s="27" t="n">
        <f aca="false">F9</f>
        <v>0</v>
      </c>
      <c r="G20" s="35" t="n">
        <v>0</v>
      </c>
      <c r="H20" s="35" t="n">
        <v>0</v>
      </c>
      <c r="I20" s="35" t="n">
        <f aca="false">G20+H20</f>
        <v>0</v>
      </c>
      <c r="J20" s="34" t="e">
        <f aca="false">ROUND(E20*(1+I20),2)</f>
        <v>#DIV/0!</v>
      </c>
      <c r="K20" s="13"/>
      <c r="L20" s="13"/>
      <c r="M20" s="37"/>
      <c r="N20" s="37"/>
      <c r="O20" s="37"/>
      <c r="P20" s="37"/>
      <c r="Q20" s="37"/>
    </row>
    <row r="21" customFormat="false" ht="15" hidden="false" customHeight="true" outlineLevel="0" collapsed="false">
      <c r="B21" s="12" t="n">
        <f aca="false">B10</f>
        <v>2</v>
      </c>
      <c r="C21" s="41" t="e">
        <f aca="false">G10</f>
        <v>#DIV/0!</v>
      </c>
      <c r="D21" s="42" t="n">
        <v>0</v>
      </c>
      <c r="E21" s="41" t="e">
        <f aca="false">C21*(1+D21)</f>
        <v>#DIV/0!</v>
      </c>
      <c r="F21" s="40" t="n">
        <f aca="false">F10</f>
        <v>0</v>
      </c>
      <c r="G21" s="42" t="n">
        <v>0</v>
      </c>
      <c r="H21" s="42" t="n">
        <v>0</v>
      </c>
      <c r="I21" s="42" t="n">
        <f aca="false">G21+H21</f>
        <v>0</v>
      </c>
      <c r="J21" s="41" t="e">
        <f aca="false">ROUND(E21*(1+I21),2)</f>
        <v>#DIV/0!</v>
      </c>
      <c r="K21" s="37"/>
      <c r="L21" s="37"/>
      <c r="M21" s="37"/>
      <c r="N21" s="37"/>
      <c r="O21" s="37"/>
      <c r="P21" s="37"/>
      <c r="Q21" s="37"/>
    </row>
    <row r="22" customFormat="false" ht="15" hidden="false" customHeight="true" outlineLevel="0" collapsed="false">
      <c r="B22" s="13" t="n">
        <f aca="false">B11</f>
        <v>3</v>
      </c>
      <c r="C22" s="34" t="e">
        <f aca="false">G11</f>
        <v>#DIV/0!</v>
      </c>
      <c r="D22" s="35" t="n">
        <v>0</v>
      </c>
      <c r="E22" s="34" t="e">
        <f aca="false">C22*(1+D22)</f>
        <v>#DIV/0!</v>
      </c>
      <c r="F22" s="27" t="n">
        <f aca="false">F11</f>
        <v>0</v>
      </c>
      <c r="G22" s="35" t="n">
        <v>0</v>
      </c>
      <c r="H22" s="35" t="n">
        <v>0</v>
      </c>
      <c r="I22" s="35" t="n">
        <f aca="false">G22+H22</f>
        <v>0</v>
      </c>
      <c r="J22" s="34" t="e">
        <f aca="false">ROUND(E22*(1+I22),2)</f>
        <v>#DIV/0!</v>
      </c>
      <c r="K22" s="37"/>
      <c r="L22" s="37"/>
      <c r="M22" s="37"/>
      <c r="N22" s="37"/>
      <c r="O22" s="37"/>
      <c r="P22" s="37"/>
      <c r="Q22" s="37"/>
    </row>
    <row r="23" customFormat="false" ht="15" hidden="false" customHeight="true" outlineLevel="0" collapsed="false">
      <c r="B23" s="12" t="n">
        <f aca="false">B12</f>
        <v>4</v>
      </c>
      <c r="C23" s="41" t="e">
        <f aca="false">G12</f>
        <v>#DIV/0!</v>
      </c>
      <c r="D23" s="42" t="n">
        <v>0</v>
      </c>
      <c r="E23" s="41" t="e">
        <f aca="false">C23*(1+D23)</f>
        <v>#DIV/0!</v>
      </c>
      <c r="F23" s="40" t="n">
        <f aca="false">F12</f>
        <v>0</v>
      </c>
      <c r="G23" s="42" t="n">
        <v>0</v>
      </c>
      <c r="H23" s="42" t="n">
        <v>0</v>
      </c>
      <c r="I23" s="42" t="n">
        <f aca="false">G23+H23</f>
        <v>0</v>
      </c>
      <c r="J23" s="41" t="e">
        <f aca="false">ROUND(E23*(1+I23),2)</f>
        <v>#DIV/0!</v>
      </c>
      <c r="K23" s="37"/>
      <c r="L23" s="37"/>
      <c r="M23" s="37"/>
      <c r="N23" s="37"/>
      <c r="O23" s="37"/>
      <c r="P23" s="37"/>
      <c r="Q23" s="37"/>
    </row>
    <row r="24" customFormat="false" ht="15" hidden="false" customHeight="true" outlineLevel="0" collapsed="false">
      <c r="B24" s="13" t="n">
        <f aca="false">B13</f>
        <v>5</v>
      </c>
      <c r="C24" s="34" t="e">
        <f aca="false">G13</f>
        <v>#DIV/0!</v>
      </c>
      <c r="D24" s="35" t="n">
        <v>0</v>
      </c>
      <c r="E24" s="34" t="e">
        <f aca="false">C24*(1+D24)</f>
        <v>#DIV/0!</v>
      </c>
      <c r="F24" s="27" t="n">
        <f aca="false">F13</f>
        <v>0</v>
      </c>
      <c r="G24" s="35" t="n">
        <v>0</v>
      </c>
      <c r="H24" s="35" t="n">
        <v>0</v>
      </c>
      <c r="I24" s="35" t="n">
        <f aca="false">G24+H24</f>
        <v>0</v>
      </c>
      <c r="J24" s="34" t="e">
        <f aca="false">ROUND(E24*(1+I24),2)</f>
        <v>#DIV/0!</v>
      </c>
      <c r="K24" s="37"/>
      <c r="L24" s="37"/>
      <c r="M24" s="37"/>
      <c r="N24" s="37"/>
      <c r="O24" s="37"/>
      <c r="P24" s="37"/>
      <c r="Q24" s="37"/>
    </row>
    <row r="25" customFormat="false" ht="15" hidden="false" customHeight="true" outlineLevel="0" collapsed="false">
      <c r="B25" s="12" t="n">
        <f aca="false">B14</f>
        <v>6</v>
      </c>
      <c r="C25" s="41" t="e">
        <f aca="false">G14</f>
        <v>#DIV/0!</v>
      </c>
      <c r="D25" s="42" t="n">
        <v>0</v>
      </c>
      <c r="E25" s="41" t="e">
        <f aca="false">C25*(1+D25)</f>
        <v>#DIV/0!</v>
      </c>
      <c r="F25" s="40" t="n">
        <f aca="false">F14</f>
        <v>0</v>
      </c>
      <c r="G25" s="42" t="n">
        <v>0</v>
      </c>
      <c r="H25" s="42" t="n">
        <v>0</v>
      </c>
      <c r="I25" s="42" t="n">
        <f aca="false">G25+H25</f>
        <v>0</v>
      </c>
      <c r="J25" s="41" t="e">
        <f aca="false">ROUND(E25*(1+I25),2)</f>
        <v>#DIV/0!</v>
      </c>
      <c r="K25" s="37"/>
      <c r="L25" s="37"/>
      <c r="M25" s="37"/>
      <c r="N25" s="37"/>
      <c r="O25" s="37"/>
      <c r="P25" s="37"/>
      <c r="Q25" s="37"/>
    </row>
    <row r="26" customFormat="false" ht="15" hidden="false" customHeight="true" outlineLevel="0" collapsed="false">
      <c r="B26" s="13" t="n">
        <f aca="false">B15</f>
        <v>7</v>
      </c>
      <c r="C26" s="34" t="e">
        <f aca="false">G15</f>
        <v>#DIV/0!</v>
      </c>
      <c r="D26" s="35" t="n">
        <v>0</v>
      </c>
      <c r="E26" s="34" t="e">
        <f aca="false">C26*(1+D26)</f>
        <v>#DIV/0!</v>
      </c>
      <c r="F26" s="27" t="n">
        <f aca="false">F15</f>
        <v>0</v>
      </c>
      <c r="G26" s="35" t="n">
        <v>0</v>
      </c>
      <c r="H26" s="35" t="n">
        <v>0</v>
      </c>
      <c r="I26" s="35" t="n">
        <f aca="false">G26+H26</f>
        <v>0</v>
      </c>
      <c r="J26" s="34" t="e">
        <f aca="false">ROUND(E26*(1+I26),2)</f>
        <v>#DIV/0!</v>
      </c>
      <c r="K26" s="37"/>
      <c r="L26" s="37"/>
      <c r="M26" s="37"/>
      <c r="N26" s="37"/>
      <c r="O26" s="37"/>
      <c r="P26" s="37"/>
      <c r="Q26" s="37"/>
    </row>
    <row r="27" customFormat="false" ht="6" hidden="false" customHeight="true" outlineLevel="0" collapsed="false"/>
    <row r="28" customFormat="false" ht="6" hidden="false" customHeight="true" outlineLevel="0" collapsed="false"/>
    <row r="29" customFormat="false" ht="19.5" hidden="false" customHeight="true" outlineLevel="0" collapsed="false">
      <c r="B29" s="30" t="s">
        <v>368</v>
      </c>
      <c r="C29" s="30"/>
      <c r="D29" s="30"/>
      <c r="E29" s="30"/>
    </row>
    <row r="30" customFormat="false" ht="15" hidden="false" customHeight="true" outlineLevel="0" collapsed="false">
      <c r="B30" s="47" t="s">
        <v>352</v>
      </c>
      <c r="C30" s="47" t="s">
        <v>369</v>
      </c>
      <c r="D30" s="47" t="s">
        <v>348</v>
      </c>
    </row>
    <row r="31" customFormat="false" ht="15" hidden="false" customHeight="true" outlineLevel="0" collapsed="false">
      <c r="B31" s="13" t="n">
        <v>1</v>
      </c>
      <c r="C31" s="33"/>
      <c r="D31" s="27"/>
      <c r="E31" s="13"/>
      <c r="F31" s="13"/>
      <c r="G31" s="13"/>
      <c r="H31" s="13"/>
      <c r="I31" s="13"/>
      <c r="J31" s="37"/>
      <c r="K31" s="37"/>
      <c r="L31" s="37"/>
      <c r="M31" s="37"/>
      <c r="N31" s="37"/>
      <c r="O31" s="37"/>
      <c r="P31" s="37"/>
    </row>
    <row r="32" customFormat="false" ht="15" hidden="false" customHeight="true" outlineLevel="0" collapsed="false">
      <c r="B32" s="12" t="n">
        <v>2</v>
      </c>
      <c r="C32" s="39"/>
      <c r="D32" s="40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</row>
    <row r="33" customFormat="false" ht="15" hidden="false" customHeight="true" outlineLevel="0" collapsed="false">
      <c r="B33" s="13" t="n">
        <v>3</v>
      </c>
      <c r="C33" s="33"/>
      <c r="D33" s="2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</row>
    <row r="34" customFormat="false" ht="15" hidden="false" customHeight="true" outlineLevel="0" collapsed="false">
      <c r="B34" s="12" t="n">
        <v>4</v>
      </c>
      <c r="C34" s="39"/>
      <c r="D34" s="40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</row>
    <row r="35" customFormat="false" ht="15" hidden="false" customHeight="true" outlineLevel="0" collapsed="false">
      <c r="B35" s="13" t="n">
        <v>5</v>
      </c>
      <c r="C35" s="33"/>
      <c r="D35" s="2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</row>
    <row r="36" customFormat="false" ht="15" hidden="false" customHeight="true" outlineLevel="0" collapsed="false">
      <c r="B36" s="12" t="n">
        <v>6</v>
      </c>
      <c r="C36" s="39"/>
      <c r="D36" s="40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</row>
    <row r="37" customFormat="false" ht="15" hidden="false" customHeight="true" outlineLevel="0" collapsed="false">
      <c r="B37" s="13" t="n">
        <v>7</v>
      </c>
      <c r="C37" s="33"/>
      <c r="D37" s="2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</row>
    <row r="38" customFormat="false" ht="15" hidden="false" customHeight="true" outlineLevel="0" collapsed="false">
      <c r="B38" s="48" t="s">
        <v>301</v>
      </c>
      <c r="C38" s="49" t="e">
        <f aca="false">AVERAGE(C31:C37)</f>
        <v>#DIV/0!</v>
      </c>
      <c r="D38" s="50" t="e">
        <f aca="false">AVERAGE(D31:D37)</f>
        <v>#DIV/0!</v>
      </c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</row>
    <row r="39" customFormat="false" ht="15" hidden="false" customHeight="true" outlineLevel="0" collapsed="false">
      <c r="B39" s="52" t="s">
        <v>370</v>
      </c>
      <c r="C39" s="53" t="n">
        <f aca="false">$I$4</f>
        <v>0</v>
      </c>
      <c r="D39" s="54" t="n">
        <f aca="false">$J$4</f>
        <v>0</v>
      </c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</row>
    <row r="40" customFormat="false" ht="6" hidden="false" customHeight="true" outlineLevel="0" collapsed="false"/>
    <row r="41" customFormat="false" ht="18" hidden="false" customHeight="true" outlineLevel="0" collapsed="false">
      <c r="B41" s="55" t="s">
        <v>371</v>
      </c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</row>
    <row r="42" customFormat="false" ht="15.75" hidden="false" customHeight="true" outlineLevel="0" collapsed="false">
      <c r="B42" s="56" t="s">
        <v>352</v>
      </c>
      <c r="C42" s="56" t="s">
        <v>369</v>
      </c>
      <c r="D42" s="56" t="s">
        <v>348</v>
      </c>
      <c r="E42" s="56" t="s">
        <v>372</v>
      </c>
      <c r="F42" s="56" t="s">
        <v>373</v>
      </c>
      <c r="G42" s="56" t="s">
        <v>374</v>
      </c>
      <c r="H42" s="56" t="s">
        <v>375</v>
      </c>
      <c r="I42" s="56" t="s">
        <v>376</v>
      </c>
      <c r="J42" s="56" t="s">
        <v>349</v>
      </c>
      <c r="K42" s="56" t="s">
        <v>377</v>
      </c>
      <c r="L42" s="56" t="s">
        <v>378</v>
      </c>
      <c r="M42" s="56" t="s">
        <v>379</v>
      </c>
      <c r="N42" s="56"/>
      <c r="O42" s="56" t="s">
        <v>380</v>
      </c>
      <c r="P42" s="56" t="s">
        <v>381</v>
      </c>
      <c r="Q42" s="56" t="s">
        <v>382</v>
      </c>
    </row>
    <row r="43" customFormat="false" ht="15" hidden="false" customHeight="true" outlineLevel="0" collapsed="false">
      <c r="B43" s="13" t="n">
        <v>1</v>
      </c>
      <c r="C43" s="13" t="str">
        <f aca="false">IF(C31&gt;$I$4*1.1,"Superior",IF(C31&lt;$I$4*0.9,"Inferior","Similar"))</f>
        <v>Similar</v>
      </c>
      <c r="D43" s="13" t="str">
        <f aca="false">IF(D31&gt;$J$4*1.1,"Superior",IF(D31&lt;$J$4*0.9,"Inferior","Similar"))</f>
        <v>Similar</v>
      </c>
      <c r="E43" s="13"/>
      <c r="F43" s="13"/>
      <c r="G43" s="13"/>
      <c r="H43" s="13"/>
      <c r="I43" s="13"/>
      <c r="J43" s="13" t="str">
        <f aca="false">IF($K$4="No",IF(J9="No","Similar","Inferior"),IF(J9="No","Superior","Similar"))</f>
        <v>Similar</v>
      </c>
      <c r="K43" s="13" t="str">
        <f aca="false">IF(K9&gt;$L$4*1.1,"Superior",IF(K9&lt;$L$4*0.9,"Inferior","Similar"))</f>
        <v>Similar</v>
      </c>
      <c r="L43" s="13"/>
      <c r="M43" s="13"/>
      <c r="N43" s="13"/>
      <c r="O43" s="13"/>
      <c r="P43" s="13"/>
      <c r="Q43" s="13"/>
    </row>
    <row r="44" customFormat="false" ht="15" hidden="false" customHeight="true" outlineLevel="0" collapsed="false">
      <c r="B44" s="12" t="n">
        <v>2</v>
      </c>
      <c r="C44" s="12" t="str">
        <f aca="false">IF(C32&gt;$I$4*1.1,"Superior",IF(C32&lt;$I$4*0.9,"Inferior","Similar"))</f>
        <v>Similar</v>
      </c>
      <c r="D44" s="12" t="str">
        <f aca="false">IF(D32&gt;$J$4*1.1,"Superior",IF(D32&lt;$J$4*0.9,"Inferior","Similar"))</f>
        <v>Similar</v>
      </c>
      <c r="E44" s="12"/>
      <c r="F44" s="12"/>
      <c r="G44" s="12"/>
      <c r="H44" s="12"/>
      <c r="I44" s="12"/>
      <c r="J44" s="12" t="str">
        <f aca="false">IF($K$4="No",IF(J10="No","Similar","Inferior"),IF(J10="No","Superior","Similar"))</f>
        <v>Similar</v>
      </c>
      <c r="K44" s="12" t="str">
        <f aca="false">IF(K10&gt;$L$4*1.1,"Superior",IF(K10&lt;$L$4*0.9,"Inferior","Similar"))</f>
        <v>Similar</v>
      </c>
      <c r="L44" s="12"/>
      <c r="M44" s="12"/>
      <c r="N44" s="12"/>
      <c r="O44" s="12"/>
      <c r="P44" s="12"/>
      <c r="Q44" s="12"/>
    </row>
    <row r="45" customFormat="false" ht="15" hidden="false" customHeight="true" outlineLevel="0" collapsed="false">
      <c r="B45" s="13" t="n">
        <v>3</v>
      </c>
      <c r="C45" s="13" t="str">
        <f aca="false">IF(C33&gt;$I$4*1.1,"Superior",IF(C33&lt;$I$4*0.9,"Inferior","Similar"))</f>
        <v>Similar</v>
      </c>
      <c r="D45" s="13" t="str">
        <f aca="false">IF(D33&gt;$J$4*1.1,"Superior",IF(D33&lt;$J$4*0.9,"Inferior","Similar"))</f>
        <v>Similar</v>
      </c>
      <c r="E45" s="13"/>
      <c r="F45" s="13"/>
      <c r="G45" s="13"/>
      <c r="H45" s="13"/>
      <c r="I45" s="13"/>
      <c r="J45" s="13" t="str">
        <f aca="false">IF($K$4="No",IF(J11="No","Similar","Inferior"),IF(J11="No","Superior","Similar"))</f>
        <v>Similar</v>
      </c>
      <c r="K45" s="13" t="str">
        <f aca="false">IF(K11&gt;$L$4*1.1,"Superior",IF(K11&lt;$L$4*0.9,"Inferior","Similar"))</f>
        <v>Similar</v>
      </c>
      <c r="L45" s="13"/>
      <c r="M45" s="13"/>
      <c r="N45" s="13"/>
      <c r="O45" s="13"/>
      <c r="P45" s="13"/>
      <c r="Q45" s="13"/>
    </row>
    <row r="46" customFormat="false" ht="15" hidden="false" customHeight="true" outlineLevel="0" collapsed="false">
      <c r="B46" s="12" t="n">
        <v>4</v>
      </c>
      <c r="C46" s="12" t="str">
        <f aca="false">IF(C34&gt;$I$4*1.1,"Superior",IF(C34&lt;$I$4*0.9,"Inferior","Similar"))</f>
        <v>Similar</v>
      </c>
      <c r="D46" s="12" t="str">
        <f aca="false">IF(D34&gt;$J$4*1.1,"Superior",IF(D34&lt;$J$4*0.9,"Inferior","Similar"))</f>
        <v>Similar</v>
      </c>
      <c r="E46" s="12"/>
      <c r="F46" s="12"/>
      <c r="G46" s="12"/>
      <c r="H46" s="12"/>
      <c r="I46" s="12"/>
      <c r="J46" s="12" t="str">
        <f aca="false">IF($K$4="No",IF(J12="No","Similar","Inferior"),IF(J12="No","Superior","Similar"))</f>
        <v>Similar</v>
      </c>
      <c r="K46" s="12" t="str">
        <f aca="false">IF(K12&gt;$L$4*1.1,"Superior",IF(K12&lt;$L$4*0.9,"Inferior","Similar"))</f>
        <v>Similar</v>
      </c>
      <c r="L46" s="12"/>
      <c r="M46" s="12"/>
      <c r="N46" s="12"/>
      <c r="O46" s="12"/>
      <c r="P46" s="12"/>
      <c r="Q46" s="12"/>
    </row>
    <row r="47" customFormat="false" ht="15" hidden="false" customHeight="true" outlineLevel="0" collapsed="false">
      <c r="B47" s="13" t="n">
        <v>5</v>
      </c>
      <c r="C47" s="13" t="str">
        <f aca="false">IF(C35&gt;$I$4*1.1,"Superior",IF(C35&lt;$I$4*0.9,"Inferior","Similar"))</f>
        <v>Similar</v>
      </c>
      <c r="D47" s="13" t="str">
        <f aca="false">IF(D35&gt;$J$4*1.1,"Superior",IF(D35&lt;$J$4*0.9,"Inferior","Similar"))</f>
        <v>Similar</v>
      </c>
      <c r="E47" s="13"/>
      <c r="F47" s="13"/>
      <c r="G47" s="13"/>
      <c r="H47" s="13"/>
      <c r="I47" s="13"/>
      <c r="J47" s="13" t="str">
        <f aca="false">IF($K$4="No",IF(J13="No","Similar","Inferior"),IF(J13="No","Superior","Similar"))</f>
        <v>Similar</v>
      </c>
      <c r="K47" s="13" t="str">
        <f aca="false">IF(K13&gt;$L$4*1.1,"Superior",IF(K13&lt;$L$4*0.9,"Inferior","Similar"))</f>
        <v>Similar</v>
      </c>
      <c r="L47" s="13"/>
      <c r="M47" s="13"/>
      <c r="N47" s="13"/>
      <c r="O47" s="13"/>
      <c r="P47" s="13"/>
      <c r="Q47" s="13"/>
    </row>
    <row r="48" customFormat="false" ht="15" hidden="false" customHeight="true" outlineLevel="0" collapsed="false">
      <c r="B48" s="12" t="n">
        <v>6</v>
      </c>
      <c r="C48" s="12" t="str">
        <f aca="false">IF(C36&gt;$I$4*1.1,"Superior",IF(C36&lt;$I$4*0.9,"Inferior","Similar"))</f>
        <v>Similar</v>
      </c>
      <c r="D48" s="12" t="str">
        <f aca="false">IF(D36&gt;$J$4*1.1,"Superior",IF(D36&lt;$J$4*0.9,"Inferior","Similar"))</f>
        <v>Similar</v>
      </c>
      <c r="E48" s="12"/>
      <c r="F48" s="12"/>
      <c r="G48" s="12"/>
      <c r="H48" s="12"/>
      <c r="I48" s="12"/>
      <c r="J48" s="12" t="str">
        <f aca="false">IF($K$4="No",IF(J14="No","Similar","Inferior"),IF(J14="No","Superior","Similar"))</f>
        <v>Similar</v>
      </c>
      <c r="K48" s="12" t="str">
        <f aca="false">IF(K14&gt;$L$4*1.1,"Superior",IF(K14&lt;$L$4*0.9,"Inferior","Similar"))</f>
        <v>Similar</v>
      </c>
      <c r="L48" s="12"/>
      <c r="M48" s="12"/>
      <c r="N48" s="12"/>
      <c r="O48" s="12"/>
      <c r="P48" s="12"/>
      <c r="Q48" s="12"/>
    </row>
    <row r="49" customFormat="false" ht="15" hidden="false" customHeight="true" outlineLevel="0" collapsed="false">
      <c r="B49" s="13" t="n">
        <v>7</v>
      </c>
      <c r="C49" s="13" t="str">
        <f aca="false">IF(C37&gt;$I$4*1.1,"Superior",IF(C37&lt;$I$4*0.9,"Inferior","Similar"))</f>
        <v>Similar</v>
      </c>
      <c r="D49" s="13" t="str">
        <f aca="false">IF(D37&gt;$J$4*1.1,"Superior",IF(D37&lt;$J$4*0.9,"Inferior","Similar"))</f>
        <v>Similar</v>
      </c>
      <c r="E49" s="13"/>
      <c r="F49" s="13"/>
      <c r="G49" s="13"/>
      <c r="H49" s="13"/>
      <c r="I49" s="13"/>
      <c r="J49" s="13" t="str">
        <f aca="false">IF($K$4="No",IF(J15="No","Similar","Inferior"),IF(J15="No","Superior","Similar"))</f>
        <v>Similar</v>
      </c>
      <c r="K49" s="13" t="str">
        <f aca="false">IF(K15&gt;$L$4*1.1,"Superior",IF(K15&lt;$L$4*0.9,"Inferior","Similar"))</f>
        <v>Similar</v>
      </c>
      <c r="L49" s="13"/>
      <c r="M49" s="13"/>
      <c r="N49" s="13"/>
      <c r="O49" s="13"/>
      <c r="P49" s="13"/>
      <c r="Q49" s="13"/>
    </row>
    <row r="50" customFormat="false" ht="6" hidden="false" customHeight="true" outlineLevel="0" collapsed="false"/>
    <row r="51" customFormat="false" ht="13.5" hidden="false" customHeight="true" outlineLevel="0" collapsed="false">
      <c r="B51" s="57"/>
      <c r="C51" s="58"/>
      <c r="D51" s="58"/>
      <c r="E51" s="58"/>
      <c r="F51" s="58"/>
      <c r="G51" s="58"/>
      <c r="H51" s="58"/>
      <c r="I51" s="58"/>
      <c r="J51" s="58"/>
      <c r="K51" s="58"/>
      <c r="L51" s="58" t="s">
        <v>383</v>
      </c>
      <c r="M51" s="58" t="e">
        <f aca="false">AVERAGE(sales!J20,sales!J22,sales!J23,sales!J24,sales!J25,sales!J26)</f>
        <v>#DIV/0!</v>
      </c>
      <c r="N51" s="58"/>
      <c r="O51" s="58"/>
      <c r="P51" s="58"/>
      <c r="Q51" s="58"/>
    </row>
    <row r="52" customFormat="false" ht="13.5" hidden="false" customHeight="true" outlineLevel="0" collapsed="false">
      <c r="B52" s="57"/>
      <c r="C52" s="58"/>
      <c r="D52" s="58"/>
      <c r="E52" s="58"/>
      <c r="F52" s="58"/>
      <c r="G52" s="58"/>
      <c r="H52" s="58"/>
      <c r="I52" s="58"/>
      <c r="J52" s="58"/>
      <c r="K52" s="58"/>
      <c r="L52" s="58" t="s">
        <v>384</v>
      </c>
      <c r="M52" s="58" t="e">
        <f aca="false">MEDIAN(sales!J20,sales!J22,sales!J23,sales!J24,sales!J25,sales!J26)</f>
        <v>#DIV/0!</v>
      </c>
      <c r="N52" s="58"/>
      <c r="O52" s="58"/>
      <c r="P52" s="58"/>
      <c r="Q52" s="58"/>
    </row>
    <row r="53" customFormat="false" ht="6" hidden="false" customHeight="true" outlineLevel="0" collapsed="false"/>
    <row r="54" customFormat="false" ht="18" hidden="false" customHeight="true" outlineLevel="0" collapsed="false">
      <c r="B54" s="59" t="s">
        <v>385</v>
      </c>
      <c r="C54" s="59"/>
      <c r="D54" s="59"/>
      <c r="M54" s="1"/>
      <c r="N54" s="1"/>
      <c r="O54" s="1"/>
      <c r="P54" s="1"/>
      <c r="Q54" s="1"/>
    </row>
    <row r="55" customFormat="false" ht="13.5" hidden="false" customHeight="true" outlineLevel="0" collapsed="false">
      <c r="B55" s="56" t="s">
        <v>73</v>
      </c>
      <c r="C55" s="60" t="s">
        <v>386</v>
      </c>
      <c r="D55" s="61" t="s">
        <v>387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</row>
    <row r="56" customFormat="false" ht="15.75" hidden="false" customHeight="true" outlineLevel="0" collapsed="false">
      <c r="B56" s="28"/>
      <c r="C56" s="28"/>
      <c r="D56" s="63" t="n">
        <f aca="false">B56*C56</f>
        <v>0</v>
      </c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</row>
  </sheetData>
  <mergeCells count="6">
    <mergeCell ref="B2:H2"/>
    <mergeCell ref="B7:L7"/>
    <mergeCell ref="B18:J18"/>
    <mergeCell ref="B29:E29"/>
    <mergeCell ref="B41:Q41"/>
    <mergeCell ref="B54:D54"/>
  </mergeCells>
  <conditionalFormatting sqref="C43:M49">
    <cfRule type="expression" priority="2" aboveAverage="0" equalAverage="0" bottom="0" percent="0" rank="0" text="" dxfId="0">
      <formula>C43="Superior"</formula>
    </cfRule>
    <cfRule type="expression" priority="3" aboveAverage="0" equalAverage="0" bottom="0" percent="0" rank="0" text="" dxfId="1">
      <formula>C43="Inferior"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6" min="6" style="1" width="11"/>
    <col collapsed="false" customWidth="true" hidden="false" outlineLevel="0" max="7" min="7" style="1" width="14"/>
  </cols>
  <sheetData>
    <row r="1" customFormat="false" ht="6" hidden="false" customHeight="true" outlineLevel="0" collapsed="false"/>
    <row r="2" customFormat="false" ht="18" hidden="false" customHeight="true" outlineLevel="0" collapsed="false">
      <c r="B2" s="55" t="s">
        <v>388</v>
      </c>
      <c r="C2" s="55"/>
      <c r="D2" s="55"/>
      <c r="E2" s="55"/>
      <c r="F2" s="55"/>
      <c r="G2" s="55"/>
    </row>
    <row r="3" customFormat="false" ht="15" hidden="false" customHeight="true" outlineLevel="0" collapsed="false">
      <c r="B3" s="65"/>
      <c r="C3" s="65"/>
      <c r="D3" s="65"/>
      <c r="E3" s="65"/>
      <c r="F3" s="65"/>
      <c r="G3" s="65"/>
    </row>
    <row r="4" customFormat="false" ht="6" hidden="false" customHeight="true" outlineLevel="0" collapsed="false"/>
    <row r="5" customFormat="false" ht="18" hidden="false" customHeight="true" outlineLevel="0" collapsed="false">
      <c r="B5" s="55" t="s">
        <v>389</v>
      </c>
      <c r="C5" s="55"/>
      <c r="D5" s="55"/>
      <c r="E5" s="55"/>
      <c r="F5" s="55"/>
      <c r="G5" s="55"/>
    </row>
    <row r="6" customFormat="false" ht="15.75" hidden="false" customHeight="true" outlineLevel="0" collapsed="false">
      <c r="B6" s="66" t="s">
        <v>390</v>
      </c>
      <c r="C6" s="66" t="s">
        <v>391</v>
      </c>
      <c r="D6" s="66" t="s">
        <v>392</v>
      </c>
      <c r="E6" s="66" t="s">
        <v>393</v>
      </c>
      <c r="F6" s="66"/>
      <c r="G6" s="66"/>
    </row>
    <row r="7" customFormat="false" ht="15" hidden="false" customHeight="true" outlineLevel="0" collapsed="false">
      <c r="B7" s="67" t="s">
        <v>394</v>
      </c>
      <c r="C7" s="68"/>
      <c r="D7" s="8" t="s">
        <v>356</v>
      </c>
      <c r="E7" s="67" t="s">
        <v>395</v>
      </c>
      <c r="F7" s="67"/>
      <c r="G7" s="67"/>
    </row>
    <row r="8" customFormat="false" ht="15" hidden="false" customHeight="true" outlineLevel="0" collapsed="false">
      <c r="B8" s="69" t="s">
        <v>342</v>
      </c>
      <c r="C8" s="68"/>
      <c r="D8" s="11" t="s">
        <v>396</v>
      </c>
      <c r="E8" s="69"/>
      <c r="F8" s="69"/>
      <c r="G8" s="69"/>
    </row>
    <row r="9" customFormat="false" ht="15" hidden="false" customHeight="true" outlineLevel="0" collapsed="false">
      <c r="B9" s="67" t="s">
        <v>397</v>
      </c>
      <c r="C9" s="68"/>
      <c r="D9" s="8" t="s">
        <v>398</v>
      </c>
      <c r="E9" s="67" t="s">
        <v>399</v>
      </c>
      <c r="F9" s="67"/>
      <c r="G9" s="67"/>
    </row>
    <row r="10" customFormat="false" ht="15" hidden="false" customHeight="true" outlineLevel="0" collapsed="false">
      <c r="B10" s="69" t="s">
        <v>400</v>
      </c>
      <c r="C10" s="68"/>
      <c r="D10" s="11" t="s">
        <v>398</v>
      </c>
      <c r="E10" s="69" t="s">
        <v>401</v>
      </c>
      <c r="F10" s="69"/>
      <c r="G10" s="69"/>
    </row>
    <row r="11" customFormat="false" ht="15" hidden="false" customHeight="true" outlineLevel="0" collapsed="false">
      <c r="B11" s="70" t="s">
        <v>402</v>
      </c>
      <c r="C11" s="71" t="e">
        <f aca="false">B7*B9*B10</f>
        <v>#VALUE!</v>
      </c>
      <c r="D11" s="71" t="s">
        <v>356</v>
      </c>
      <c r="E11" s="67" t="e">
        <f aca="false">B7*B9*B10</f>
        <v>#VALUE!</v>
      </c>
      <c r="F11" s="67"/>
      <c r="G11" s="67"/>
    </row>
    <row r="12" customFormat="false" ht="15" hidden="false" customHeight="true" outlineLevel="0" collapsed="false">
      <c r="B12" s="72" t="s">
        <v>403</v>
      </c>
      <c r="C12" s="73" t="e">
        <f aca="false">B8*B11</f>
        <v>#VALUE!</v>
      </c>
      <c r="D12" s="73" t="s">
        <v>404</v>
      </c>
      <c r="E12" s="69" t="e">
        <f aca="false">B7*B8 * all adjustments</f>
        <v>#VALUE!</v>
      </c>
      <c r="F12" s="69"/>
      <c r="G12" s="69"/>
    </row>
    <row r="13" customFormat="false" ht="6" hidden="false" customHeight="true" outlineLevel="0" collapsed="false"/>
    <row r="14" customFormat="false" ht="18" hidden="false" customHeight="true" outlineLevel="0" collapsed="false">
      <c r="B14" s="55" t="s">
        <v>405</v>
      </c>
      <c r="C14" s="55"/>
      <c r="D14" s="55"/>
      <c r="E14" s="55"/>
      <c r="F14" s="55"/>
      <c r="G14" s="55"/>
    </row>
    <row r="15" customFormat="false" ht="15.75" hidden="false" customHeight="true" outlineLevel="0" collapsed="false">
      <c r="B15" s="66" t="s">
        <v>406</v>
      </c>
      <c r="C15" s="66" t="s">
        <v>407</v>
      </c>
      <c r="D15" s="66" t="s">
        <v>408</v>
      </c>
      <c r="E15" s="66" t="s">
        <v>409</v>
      </c>
      <c r="F15" s="66" t="s">
        <v>410</v>
      </c>
      <c r="G15" s="66" t="s">
        <v>411</v>
      </c>
    </row>
    <row r="16" customFormat="false" ht="15" hidden="false" customHeight="true" outlineLevel="0" collapsed="false">
      <c r="B16" s="67" t="s">
        <v>268</v>
      </c>
      <c r="C16" s="68"/>
      <c r="D16" s="68"/>
      <c r="E16" s="68"/>
      <c r="F16" s="71" t="e">
        <f aca="false">D16/E16</f>
        <v>#DIV/0!</v>
      </c>
      <c r="G16" s="71" t="e">
        <f aca="false">C16*F16</f>
        <v>#DIV/0!</v>
      </c>
    </row>
    <row r="17" customFormat="false" ht="15" hidden="false" customHeight="true" outlineLevel="0" collapsed="false">
      <c r="B17" s="69" t="s">
        <v>412</v>
      </c>
      <c r="C17" s="68"/>
      <c r="D17" s="68"/>
      <c r="E17" s="68"/>
      <c r="F17" s="73" t="e">
        <f aca="false">D17/E17</f>
        <v>#DIV/0!</v>
      </c>
      <c r="G17" s="73" t="e">
        <f aca="false">C17*F17</f>
        <v>#DIV/0!</v>
      </c>
    </row>
    <row r="18" customFormat="false" ht="15" hidden="false" customHeight="true" outlineLevel="0" collapsed="false">
      <c r="B18" s="67" t="s">
        <v>413</v>
      </c>
      <c r="C18" s="68"/>
      <c r="D18" s="68"/>
      <c r="E18" s="68"/>
      <c r="F18" s="71" t="e">
        <f aca="false">D18/E18</f>
        <v>#DIV/0!</v>
      </c>
      <c r="G18" s="71" t="e">
        <f aca="false">C18*F18</f>
        <v>#DIV/0!</v>
      </c>
    </row>
    <row r="19" customFormat="false" ht="15" hidden="false" customHeight="true" outlineLevel="0" collapsed="false">
      <c r="B19" s="69" t="s">
        <v>414</v>
      </c>
      <c r="C19" s="68"/>
      <c r="D19" s="68"/>
      <c r="E19" s="68"/>
      <c r="F19" s="73" t="e">
        <f aca="false">D19/E19</f>
        <v>#DIV/0!</v>
      </c>
      <c r="G19" s="73" t="e">
        <f aca="false">C19*F19</f>
        <v>#DIV/0!</v>
      </c>
    </row>
    <row r="20" customFormat="false" ht="15.75" hidden="false" customHeight="true" outlineLevel="0" collapsed="false">
      <c r="B20" s="74" t="s">
        <v>415</v>
      </c>
      <c r="C20" s="75" t="n">
        <f aca="false">SUM(C16:C19)</f>
        <v>0</v>
      </c>
      <c r="D20" s="75"/>
      <c r="E20" s="75"/>
      <c r="F20" s="75"/>
      <c r="G20" s="75" t="e">
        <f aca="false">SUM(G16:G19)</f>
        <v>#DIV/0!</v>
      </c>
    </row>
    <row r="21" customFormat="false" ht="6" hidden="false" customHeight="true" outlineLevel="0" collapsed="false"/>
    <row r="22" customFormat="false" ht="18" hidden="false" customHeight="true" outlineLevel="0" collapsed="false">
      <c r="B22" s="55" t="s">
        <v>416</v>
      </c>
      <c r="C22" s="55"/>
      <c r="D22" s="55"/>
      <c r="E22" s="55"/>
      <c r="F22" s="55"/>
      <c r="G22" s="55"/>
    </row>
    <row r="23" customFormat="false" ht="15.75" hidden="false" customHeight="true" outlineLevel="0" collapsed="false">
      <c r="B23" s="66" t="s">
        <v>406</v>
      </c>
      <c r="C23" s="66" t="s">
        <v>407</v>
      </c>
      <c r="D23" s="66" t="s">
        <v>408</v>
      </c>
      <c r="E23" s="66" t="s">
        <v>409</v>
      </c>
      <c r="F23" s="66" t="s">
        <v>410</v>
      </c>
      <c r="G23" s="66" t="s">
        <v>411</v>
      </c>
    </row>
    <row r="24" customFormat="false" ht="15" hidden="false" customHeight="true" outlineLevel="0" collapsed="false">
      <c r="B24" s="67" t="s">
        <v>417</v>
      </c>
      <c r="C24" s="68"/>
      <c r="D24" s="68"/>
      <c r="E24" s="68"/>
      <c r="F24" s="71" t="e">
        <f aca="false">D24/E24</f>
        <v>#DIV/0!</v>
      </c>
      <c r="G24" s="71" t="e">
        <f aca="false">C24*F24</f>
        <v>#DIV/0!</v>
      </c>
    </row>
    <row r="25" customFormat="false" ht="15" hidden="false" customHeight="true" outlineLevel="0" collapsed="false">
      <c r="B25" s="69" t="s">
        <v>418</v>
      </c>
      <c r="C25" s="68"/>
      <c r="D25" s="68"/>
      <c r="E25" s="68"/>
      <c r="F25" s="73" t="e">
        <f aca="false">D25/E25</f>
        <v>#DIV/0!</v>
      </c>
      <c r="G25" s="73" t="e">
        <f aca="false">C25*F25</f>
        <v>#DIV/0!</v>
      </c>
    </row>
    <row r="26" customFormat="false" ht="15" hidden="false" customHeight="true" outlineLevel="0" collapsed="false">
      <c r="B26" s="67" t="s">
        <v>419</v>
      </c>
      <c r="C26" s="68"/>
      <c r="D26" s="68"/>
      <c r="E26" s="68"/>
      <c r="F26" s="71" t="e">
        <f aca="false">D26/E26</f>
        <v>#DIV/0!</v>
      </c>
      <c r="G26" s="71" t="e">
        <f aca="false">C26*F26</f>
        <v>#DIV/0!</v>
      </c>
    </row>
    <row r="27" customFormat="false" ht="15" hidden="false" customHeight="true" outlineLevel="0" collapsed="false">
      <c r="B27" s="69" t="s">
        <v>420</v>
      </c>
      <c r="C27" s="68"/>
      <c r="D27" s="68"/>
      <c r="E27" s="68"/>
      <c r="F27" s="73" t="e">
        <f aca="false">D27/E27</f>
        <v>#DIV/0!</v>
      </c>
      <c r="G27" s="73" t="e">
        <f aca="false">C27*F27</f>
        <v>#DIV/0!</v>
      </c>
    </row>
    <row r="28" customFormat="false" ht="15.75" hidden="false" customHeight="true" outlineLevel="0" collapsed="false">
      <c r="B28" s="74" t="s">
        <v>421</v>
      </c>
      <c r="C28" s="75" t="n">
        <f aca="false">SUM(C24:C27)</f>
        <v>0</v>
      </c>
      <c r="D28" s="75"/>
      <c r="E28" s="75"/>
      <c r="F28" s="75"/>
      <c r="G28" s="75" t="e">
        <f aca="false">SUM(G24:G27)</f>
        <v>#DIV/0!</v>
      </c>
    </row>
    <row r="29" customFormat="false" ht="6" hidden="false" customHeight="true" outlineLevel="0" collapsed="false"/>
    <row r="30" customFormat="false" ht="18" hidden="false" customHeight="true" outlineLevel="0" collapsed="false">
      <c r="B30" s="55" t="s">
        <v>422</v>
      </c>
      <c r="C30" s="55"/>
      <c r="D30" s="55"/>
      <c r="E30" s="55"/>
      <c r="F30" s="55"/>
      <c r="G30" s="55"/>
    </row>
    <row r="31" customFormat="false" ht="15.75" hidden="false" customHeight="true" outlineLevel="0" collapsed="false">
      <c r="B31" s="66" t="s">
        <v>390</v>
      </c>
      <c r="C31" s="66" t="s">
        <v>391</v>
      </c>
      <c r="D31" s="66"/>
      <c r="E31" s="66"/>
      <c r="F31" s="66"/>
      <c r="G31" s="66"/>
    </row>
    <row r="32" customFormat="false" ht="15" hidden="false" customHeight="true" outlineLevel="0" collapsed="false">
      <c r="B32" s="67" t="s">
        <v>403</v>
      </c>
      <c r="C32" s="71" t="e">
        <f aca="false">cost!C12</f>
        <v>#VALUE!</v>
      </c>
      <c r="D32" s="67"/>
      <c r="E32" s="67"/>
      <c r="F32" s="67"/>
      <c r="G32" s="67"/>
    </row>
    <row r="33" customFormat="false" ht="15" hidden="false" customHeight="true" outlineLevel="0" collapsed="false">
      <c r="B33" s="69" t="s">
        <v>423</v>
      </c>
      <c r="C33" s="73" t="n">
        <f aca="false">C20</f>
        <v>0</v>
      </c>
      <c r="D33" s="69"/>
      <c r="E33" s="69"/>
      <c r="F33" s="69"/>
      <c r="G33" s="69"/>
    </row>
    <row r="34" customFormat="false" ht="15" hidden="false" customHeight="true" outlineLevel="0" collapsed="false">
      <c r="B34" s="67" t="s">
        <v>424</v>
      </c>
      <c r="C34" s="71" t="e">
        <f aca="false">C32-C33</f>
        <v>#VALUE!</v>
      </c>
      <c r="D34" s="67"/>
      <c r="E34" s="67"/>
      <c r="F34" s="67"/>
      <c r="G34" s="67"/>
    </row>
    <row r="35" customFormat="false" ht="15" hidden="false" customHeight="true" outlineLevel="0" collapsed="false">
      <c r="B35" s="69" t="s">
        <v>425</v>
      </c>
      <c r="C35" s="68" t="s">
        <v>426</v>
      </c>
      <c r="D35" s="69"/>
      <c r="E35" s="69"/>
      <c r="F35" s="69"/>
      <c r="G35" s="69"/>
    </row>
    <row r="36" customFormat="false" ht="15" hidden="false" customHeight="true" outlineLevel="0" collapsed="false">
      <c r="B36" s="67" t="s">
        <v>427</v>
      </c>
      <c r="C36" s="68"/>
      <c r="D36" s="67"/>
      <c r="E36" s="67"/>
      <c r="F36" s="67"/>
      <c r="G36" s="67"/>
    </row>
    <row r="37" customFormat="false" ht="15" hidden="false" customHeight="true" outlineLevel="0" collapsed="false">
      <c r="B37" s="69" t="s">
        <v>428</v>
      </c>
      <c r="C37" s="73" t="e">
        <f aca="false">C35/C36</f>
        <v>#VALUE!</v>
      </c>
      <c r="D37" s="69"/>
      <c r="E37" s="69"/>
      <c r="F37" s="69"/>
      <c r="G37" s="69"/>
    </row>
    <row r="38" customFormat="false" ht="15" hidden="false" customHeight="true" outlineLevel="0" collapsed="false">
      <c r="B38" s="67" t="s">
        <v>429</v>
      </c>
      <c r="C38" s="71" t="e">
        <f aca="false">C34*C37</f>
        <v>#VALUE!</v>
      </c>
      <c r="D38" s="67"/>
      <c r="E38" s="67"/>
      <c r="F38" s="67"/>
      <c r="G38" s="67"/>
    </row>
    <row r="39" customFormat="false" ht="6" hidden="false" customHeight="true" outlineLevel="0" collapsed="false"/>
    <row r="40" customFormat="false" ht="18" hidden="false" customHeight="true" outlineLevel="0" collapsed="false">
      <c r="B40" s="55" t="s">
        <v>430</v>
      </c>
      <c r="C40" s="55"/>
      <c r="D40" s="55"/>
      <c r="E40" s="55"/>
      <c r="F40" s="55"/>
      <c r="G40" s="55"/>
    </row>
    <row r="41" customFormat="false" ht="13.5" hidden="false" customHeight="true" outlineLevel="0" collapsed="false">
      <c r="B41" s="4" t="s">
        <v>431</v>
      </c>
      <c r="C41" s="4"/>
      <c r="D41" s="4"/>
      <c r="E41" s="4"/>
      <c r="F41" s="4"/>
      <c r="G41" s="4"/>
    </row>
    <row r="42" customFormat="false" ht="6" hidden="false" customHeight="true" outlineLevel="0" collapsed="false"/>
    <row r="43" customFormat="false" ht="15.75" hidden="false" customHeight="true" outlineLevel="0" collapsed="false">
      <c r="B43" s="66" t="s">
        <v>390</v>
      </c>
      <c r="C43" s="66" t="s">
        <v>432</v>
      </c>
      <c r="D43" s="66"/>
      <c r="E43" s="66"/>
      <c r="F43" s="66"/>
      <c r="G43" s="66"/>
    </row>
    <row r="44" customFormat="false" ht="15" hidden="false" customHeight="true" outlineLevel="0" collapsed="false">
      <c r="B44" s="76" t="s">
        <v>433</v>
      </c>
      <c r="C44" s="76"/>
      <c r="D44" s="76"/>
      <c r="E44" s="76"/>
      <c r="F44" s="76"/>
      <c r="G44" s="76"/>
    </row>
    <row r="45" customFormat="false" ht="15" hidden="false" customHeight="true" outlineLevel="0" collapsed="false">
      <c r="B45" s="69" t="s">
        <v>434</v>
      </c>
      <c r="C45" s="73" t="e">
        <f aca="false">land!d26</f>
        <v>#NAME?</v>
      </c>
      <c r="D45" s="69"/>
      <c r="E45" s="69"/>
      <c r="F45" s="69"/>
      <c r="G45" s="69"/>
    </row>
    <row r="46" customFormat="false" ht="15" hidden="false" customHeight="true" outlineLevel="0" collapsed="false">
      <c r="B46" s="67"/>
      <c r="C46" s="71"/>
      <c r="D46" s="67"/>
      <c r="E46" s="67"/>
      <c r="F46" s="67"/>
      <c r="G46" s="67"/>
    </row>
    <row r="47" customFormat="false" ht="15" hidden="false" customHeight="true" outlineLevel="0" collapsed="false">
      <c r="B47" s="76" t="s">
        <v>435</v>
      </c>
      <c r="C47" s="76"/>
      <c r="D47" s="76"/>
      <c r="E47" s="76"/>
      <c r="F47" s="76"/>
      <c r="G47" s="76"/>
    </row>
    <row r="48" customFormat="false" ht="15" hidden="false" customHeight="true" outlineLevel="0" collapsed="false">
      <c r="B48" s="67" t="s">
        <v>403</v>
      </c>
      <c r="C48" s="71" t="e">
        <f aca="false">cost!C12</f>
        <v>#VALUE!</v>
      </c>
      <c r="D48" s="67"/>
      <c r="E48" s="67"/>
      <c r="F48" s="67"/>
      <c r="G48" s="67"/>
    </row>
    <row r="49" customFormat="false" ht="15" hidden="false" customHeight="true" outlineLevel="0" collapsed="false">
      <c r="B49" s="76" t="s">
        <v>436</v>
      </c>
      <c r="C49" s="76"/>
      <c r="D49" s="76"/>
      <c r="E49" s="76"/>
      <c r="F49" s="76"/>
      <c r="G49" s="76"/>
    </row>
    <row r="50" customFormat="false" ht="15" hidden="false" customHeight="true" outlineLevel="0" collapsed="false">
      <c r="B50" s="67" t="s">
        <v>437</v>
      </c>
      <c r="C50" s="71"/>
      <c r="D50" s="67"/>
      <c r="E50" s="67"/>
      <c r="F50" s="67"/>
      <c r="G50" s="67"/>
    </row>
    <row r="51" customFormat="false" ht="15" hidden="false" customHeight="true" outlineLevel="0" collapsed="false">
      <c r="B51" s="69" t="s">
        <v>438</v>
      </c>
      <c r="C51" s="73" t="e">
        <f aca="false">cost!G20</f>
        <v>#DIV/0!</v>
      </c>
      <c r="D51" s="69"/>
      <c r="E51" s="69"/>
      <c r="F51" s="69"/>
      <c r="G51" s="69"/>
    </row>
    <row r="52" customFormat="false" ht="15" hidden="false" customHeight="true" outlineLevel="0" collapsed="false">
      <c r="B52" s="67" t="s">
        <v>439</v>
      </c>
      <c r="C52" s="71" t="e">
        <f aca="false">cost!C38</f>
        <v>#VALUE!</v>
      </c>
      <c r="D52" s="67"/>
      <c r="E52" s="67"/>
      <c r="F52" s="67"/>
      <c r="G52" s="67"/>
    </row>
    <row r="53" customFormat="false" ht="15" hidden="false" customHeight="true" outlineLevel="0" collapsed="false">
      <c r="B53" s="69" t="s">
        <v>440</v>
      </c>
      <c r="C53" s="73"/>
      <c r="D53" s="69"/>
      <c r="E53" s="69"/>
      <c r="F53" s="69"/>
      <c r="G53" s="69"/>
    </row>
    <row r="54" customFormat="false" ht="15" hidden="false" customHeight="true" outlineLevel="0" collapsed="false">
      <c r="B54" s="67" t="s">
        <v>441</v>
      </c>
      <c r="C54" s="71"/>
      <c r="D54" s="67"/>
      <c r="E54" s="67"/>
      <c r="F54" s="67"/>
      <c r="G54" s="67"/>
    </row>
    <row r="55" customFormat="false" ht="15.75" hidden="false" customHeight="true" outlineLevel="0" collapsed="false">
      <c r="B55" s="74" t="s">
        <v>442</v>
      </c>
      <c r="C55" s="75" t="e">
        <f aca="false">SUM(C50:C54)</f>
        <v>#DIV/0!</v>
      </c>
      <c r="D55" s="75"/>
      <c r="E55" s="75"/>
      <c r="F55" s="75"/>
      <c r="G55" s="75"/>
    </row>
    <row r="56" customFormat="false" ht="15" hidden="false" customHeight="true" outlineLevel="0" collapsed="false">
      <c r="B56" s="67" t="s">
        <v>443</v>
      </c>
      <c r="C56" s="71" t="e">
        <f aca="false">C48-C55</f>
        <v>#DIV/0!</v>
      </c>
      <c r="D56" s="67"/>
      <c r="E56" s="67"/>
      <c r="F56" s="67"/>
      <c r="G56" s="67"/>
    </row>
    <row r="57" customFormat="false" ht="6" hidden="false" customHeight="true" outlineLevel="0" collapsed="false"/>
    <row r="58" customFormat="false" ht="15" hidden="false" customHeight="true" outlineLevel="0" collapsed="false">
      <c r="B58" s="76" t="s">
        <v>444</v>
      </c>
      <c r="C58" s="76"/>
      <c r="D58" s="76"/>
      <c r="E58" s="76"/>
      <c r="F58" s="76"/>
      <c r="G58" s="76"/>
    </row>
    <row r="59" customFormat="false" ht="15" hidden="false" customHeight="true" outlineLevel="0" collapsed="false">
      <c r="B59" s="69" t="s">
        <v>445</v>
      </c>
      <c r="C59" s="73" t="n">
        <f aca="false">cost!C28</f>
        <v>0</v>
      </c>
      <c r="D59" s="69"/>
      <c r="E59" s="69"/>
      <c r="F59" s="69"/>
      <c r="G59" s="69"/>
    </row>
    <row r="60" customFormat="false" ht="15" hidden="false" customHeight="true" outlineLevel="0" collapsed="false">
      <c r="B60" s="67" t="s">
        <v>446</v>
      </c>
      <c r="C60" s="71" t="e">
        <f aca="false">cost!G28</f>
        <v>#DIV/0!</v>
      </c>
      <c r="D60" s="67"/>
      <c r="E60" s="67"/>
      <c r="F60" s="67"/>
      <c r="G60" s="67"/>
    </row>
    <row r="61" customFormat="false" ht="15.75" hidden="false" customHeight="true" outlineLevel="0" collapsed="false">
      <c r="B61" s="74" t="s">
        <v>447</v>
      </c>
      <c r="C61" s="75" t="e">
        <f aca="false">C59-C60</f>
        <v>#DIV/0!</v>
      </c>
      <c r="D61" s="75"/>
      <c r="E61" s="75"/>
      <c r="F61" s="75"/>
      <c r="G61" s="75"/>
    </row>
    <row r="62" customFormat="false" ht="6" hidden="false" customHeight="true" outlineLevel="0" collapsed="false"/>
    <row r="63" customFormat="false" ht="15" hidden="false" customHeight="true" outlineLevel="0" collapsed="false">
      <c r="B63" s="76" t="s">
        <v>448</v>
      </c>
      <c r="C63" s="76"/>
      <c r="D63" s="76"/>
      <c r="E63" s="76"/>
      <c r="F63" s="76"/>
      <c r="G63" s="76"/>
    </row>
    <row r="64" customFormat="false" ht="15" hidden="false" customHeight="true" outlineLevel="0" collapsed="false">
      <c r="B64" s="67" t="s">
        <v>449</v>
      </c>
      <c r="C64" s="71" t="e">
        <f aca="false">C45</f>
        <v>#NAME?</v>
      </c>
      <c r="D64" s="67"/>
      <c r="E64" s="67"/>
      <c r="F64" s="67"/>
      <c r="G64" s="67"/>
    </row>
    <row r="65" customFormat="false" ht="15" hidden="false" customHeight="true" outlineLevel="0" collapsed="false">
      <c r="B65" s="69" t="s">
        <v>443</v>
      </c>
      <c r="C65" s="73" t="e">
        <f aca="false">C56</f>
        <v>#DIV/0!</v>
      </c>
      <c r="D65" s="69"/>
      <c r="E65" s="69"/>
      <c r="F65" s="69"/>
      <c r="G65" s="69"/>
    </row>
    <row r="66" customFormat="false" ht="15" hidden="false" customHeight="true" outlineLevel="0" collapsed="false">
      <c r="B66" s="67" t="s">
        <v>447</v>
      </c>
      <c r="C66" s="71" t="e">
        <f aca="false">C61</f>
        <v>#DIV/0!</v>
      </c>
      <c r="D66" s="67"/>
      <c r="E66" s="67"/>
      <c r="F66" s="67"/>
      <c r="G66" s="67"/>
    </row>
    <row r="67" customFormat="false" ht="15" hidden="false" customHeight="true" outlineLevel="0" collapsed="false">
      <c r="B67" s="69" t="s">
        <v>450</v>
      </c>
      <c r="C67" s="73" t="e">
        <f aca="false">C64+C65+C66</f>
        <v>#DIV/0!</v>
      </c>
      <c r="D67" s="69"/>
      <c r="E67" s="69"/>
      <c r="F67" s="69"/>
      <c r="G67" s="69"/>
    </row>
    <row r="68" customFormat="false" ht="18" hidden="false" customHeight="true" outlineLevel="0" collapsed="false">
      <c r="B68" s="77" t="s">
        <v>451</v>
      </c>
      <c r="C68" s="78" t="e">
        <f aca="false">ROUND(C67/25000,0)*25000</f>
        <v>#DIV/0!</v>
      </c>
      <c r="D68" s="79"/>
      <c r="E68" s="79"/>
      <c r="F68" s="79"/>
      <c r="G68" s="79"/>
    </row>
    <row r="69" customFormat="false" ht="15.75" hidden="false" customHeight="true" outlineLevel="0" collapsed="false">
      <c r="B69" s="74"/>
      <c r="C69" s="75"/>
      <c r="D69" s="75"/>
      <c r="E69" s="75"/>
      <c r="F69" s="75"/>
      <c r="G69" s="75"/>
    </row>
    <row r="71" customFormat="false" ht="13.5" hidden="false" customHeight="true" outlineLevel="0" collapsed="false">
      <c r="B71" s="80"/>
      <c r="C71" s="80"/>
      <c r="D71" s="80"/>
      <c r="E71" s="80"/>
      <c r="F71" s="80"/>
      <c r="G71" s="80"/>
    </row>
  </sheetData>
  <mergeCells count="9">
    <mergeCell ref="B2:G2"/>
    <mergeCell ref="B3:G3"/>
    <mergeCell ref="B5:G5"/>
    <mergeCell ref="B14:G14"/>
    <mergeCell ref="B22:G22"/>
    <mergeCell ref="B30:G30"/>
    <mergeCell ref="B40:G40"/>
    <mergeCell ref="B41:G41"/>
    <mergeCell ref="B71:G7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"/>
    <col collapsed="false" customWidth="true" hidden="false" outlineLevel="0" max="4" min="3" style="1" width="12"/>
    <col collapsed="false" customWidth="true" hidden="false" outlineLevel="0" max="5" min="5" style="1" width="14"/>
    <col collapsed="false" customWidth="true" hidden="false" outlineLevel="0" max="6" min="6" style="1" width="18.56"/>
    <col collapsed="false" customWidth="true" hidden="false" outlineLevel="0" max="7" min="7" style="1" width="14"/>
    <col collapsed="false" customWidth="true" hidden="false" outlineLevel="0" max="8" min="8" style="1" width="19.11"/>
    <col collapsed="false" customWidth="true" hidden="false" outlineLevel="0" max="9" min="9" style="1" width="14"/>
  </cols>
  <sheetData>
    <row r="1" customFormat="false" ht="6" hidden="false" customHeight="true" outlineLevel="0" collapsed="false"/>
    <row r="2" customFormat="false" ht="18" hidden="false" customHeight="true" outlineLevel="0" collapsed="false">
      <c r="B2" s="55" t="s">
        <v>452</v>
      </c>
      <c r="C2" s="55"/>
      <c r="D2" s="55"/>
      <c r="E2" s="55"/>
      <c r="F2" s="55"/>
      <c r="G2" s="55"/>
      <c r="H2" s="55"/>
      <c r="I2" s="55"/>
    </row>
    <row r="3" customFormat="false" ht="15.75" hidden="false" customHeight="true" outlineLevel="0" collapsed="false">
      <c r="B3" s="66" t="s">
        <v>352</v>
      </c>
      <c r="C3" s="66" t="s">
        <v>342</v>
      </c>
      <c r="D3" s="66" t="s">
        <v>453</v>
      </c>
      <c r="E3" s="66" t="s">
        <v>454</v>
      </c>
      <c r="F3" s="66" t="s">
        <v>455</v>
      </c>
      <c r="G3" s="66" t="s">
        <v>456</v>
      </c>
      <c r="H3" s="66" t="s">
        <v>457</v>
      </c>
      <c r="I3" s="66"/>
    </row>
    <row r="4" customFormat="false" ht="15" hidden="false" customHeight="true" outlineLevel="0" collapsed="false">
      <c r="B4" s="67" t="n">
        <v>1</v>
      </c>
      <c r="C4" s="81"/>
      <c r="D4" s="82"/>
      <c r="E4" s="82"/>
      <c r="F4" s="82"/>
      <c r="G4" s="83"/>
      <c r="H4" s="82"/>
      <c r="I4" s="71"/>
    </row>
    <row r="5" customFormat="false" ht="15" hidden="false" customHeight="true" outlineLevel="0" collapsed="false">
      <c r="B5" s="69" t="n">
        <v>2</v>
      </c>
      <c r="C5" s="84"/>
      <c r="D5" s="85"/>
      <c r="E5" s="85"/>
      <c r="F5" s="85"/>
      <c r="G5" s="86"/>
      <c r="H5" s="85"/>
      <c r="I5" s="73"/>
    </row>
    <row r="6" customFormat="false" ht="15" hidden="false" customHeight="true" outlineLevel="0" collapsed="false">
      <c r="B6" s="67" t="n">
        <v>3</v>
      </c>
      <c r="C6" s="81"/>
      <c r="D6" s="82"/>
      <c r="E6" s="71"/>
      <c r="F6" s="82"/>
      <c r="G6" s="71"/>
      <c r="H6" s="71"/>
      <c r="I6" s="71"/>
    </row>
    <row r="7" customFormat="false" ht="15" hidden="false" customHeight="true" outlineLevel="0" collapsed="false">
      <c r="B7" s="69" t="n">
        <v>4</v>
      </c>
      <c r="C7" s="84"/>
      <c r="D7" s="85"/>
      <c r="E7" s="85"/>
      <c r="F7" s="85"/>
      <c r="G7" s="86"/>
      <c r="H7" s="85"/>
      <c r="I7" s="73"/>
    </row>
    <row r="8" customFormat="false" ht="15" hidden="false" customHeight="true" outlineLevel="0" collapsed="false">
      <c r="B8" s="67" t="n">
        <v>5</v>
      </c>
      <c r="C8" s="81"/>
      <c r="D8" s="82"/>
      <c r="E8" s="82"/>
      <c r="F8" s="82"/>
      <c r="G8" s="83"/>
      <c r="H8" s="82"/>
      <c r="I8" s="71"/>
    </row>
    <row r="9" customFormat="false" ht="15" hidden="false" customHeight="true" outlineLevel="0" collapsed="false">
      <c r="B9" s="69" t="n">
        <v>6</v>
      </c>
      <c r="C9" s="84"/>
      <c r="D9" s="85"/>
      <c r="E9" s="73"/>
      <c r="F9" s="85"/>
      <c r="G9" s="73"/>
      <c r="H9" s="73"/>
      <c r="I9" s="73"/>
    </row>
    <row r="10" customFormat="false" ht="6" hidden="false" customHeight="true" outlineLevel="0" collapsed="false"/>
    <row r="11" customFormat="false" ht="13.5" hidden="false" customHeight="true" outlineLevel="0" collapsed="false">
      <c r="B11" s="80" t="s">
        <v>458</v>
      </c>
      <c r="C11" s="80"/>
      <c r="D11" s="80"/>
      <c r="E11" s="80"/>
      <c r="F11" s="80"/>
      <c r="G11" s="80"/>
      <c r="H11" s="80"/>
      <c r="I11" s="80"/>
    </row>
  </sheetData>
  <mergeCells count="2">
    <mergeCell ref="B2:I2"/>
    <mergeCell ref="B11:I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00390625" defaultRowHeight="13.5" customHeight="false" zeroHeight="false" outlineLevelRow="0" outlineLevelCol="0"/>
  <cols>
    <col collapsed="false" customWidth="true" hidden="false" outlineLevel="0" max="1" min="1" style="87" width="2"/>
    <col collapsed="false" customWidth="true" hidden="false" outlineLevel="0" max="2" min="2" style="1" width="14.44"/>
    <col collapsed="false" customWidth="true" hidden="false" outlineLevel="0" max="3" min="3" style="87" width="12"/>
    <col collapsed="false" customWidth="false" hidden="false" outlineLevel="0" max="4" min="4" style="87" width="14"/>
    <col collapsed="false" customWidth="true" hidden="false" outlineLevel="0" max="5" min="5" style="87" width="15.88"/>
    <col collapsed="false" customWidth="false" hidden="false" outlineLevel="0" max="7" min="6" style="87" width="14"/>
    <col collapsed="false" customWidth="false" hidden="false" outlineLevel="0" max="8" min="8" style="1" width="14"/>
    <col collapsed="false" customWidth="false" hidden="false" outlineLevel="0" max="16384" min="9" style="87" width="14"/>
  </cols>
  <sheetData>
    <row r="1" customFormat="false" ht="6" hidden="false" customHeight="true" outlineLevel="0" collapsed="false"/>
    <row r="2" customFormat="false" ht="18" hidden="false" customHeight="true" outlineLevel="0" collapsed="false">
      <c r="B2" s="55" t="s">
        <v>459</v>
      </c>
      <c r="C2" s="55"/>
      <c r="D2" s="55"/>
      <c r="E2" s="55"/>
      <c r="F2" s="55"/>
      <c r="G2" s="55"/>
      <c r="H2" s="55"/>
    </row>
    <row r="3" customFormat="false" ht="15.75" hidden="false" customHeight="true" outlineLevel="0" collapsed="false">
      <c r="B3" s="66" t="s">
        <v>460</v>
      </c>
      <c r="C3" s="88" t="s">
        <v>353</v>
      </c>
      <c r="D3" s="66" t="s">
        <v>355</v>
      </c>
      <c r="E3" s="66" t="s">
        <v>176</v>
      </c>
      <c r="F3" s="66" t="s">
        <v>461</v>
      </c>
      <c r="G3" s="66"/>
      <c r="H3" s="66"/>
    </row>
    <row r="4" customFormat="false" ht="15" hidden="false" customHeight="true" outlineLevel="0" collapsed="false">
      <c r="B4" s="67"/>
      <c r="C4" s="89"/>
      <c r="D4" s="90"/>
      <c r="E4" s="90" t="n">
        <f aca="false">F4*D4</f>
        <v>0</v>
      </c>
      <c r="F4" s="91"/>
      <c r="G4" s="71"/>
      <c r="H4" s="71"/>
    </row>
    <row r="5" customFormat="false" ht="15" hidden="false" customHeight="true" outlineLevel="0" collapsed="false">
      <c r="B5" s="69"/>
      <c r="C5" s="92"/>
      <c r="D5" s="93"/>
      <c r="E5" s="93" t="n">
        <f aca="false">F5*D5</f>
        <v>0</v>
      </c>
      <c r="F5" s="94"/>
      <c r="G5" s="73"/>
      <c r="H5" s="94"/>
    </row>
    <row r="6" customFormat="false" ht="15" hidden="false" customHeight="true" outlineLevel="0" collapsed="false">
      <c r="B6" s="67"/>
      <c r="C6" s="89"/>
      <c r="D6" s="90"/>
      <c r="E6" s="90" t="n">
        <f aca="false">F6*D6</f>
        <v>0</v>
      </c>
      <c r="F6" s="91"/>
      <c r="G6" s="71"/>
      <c r="H6" s="91"/>
    </row>
    <row r="7" customFormat="false" ht="15" hidden="false" customHeight="true" outlineLevel="0" collapsed="false">
      <c r="B7" s="69"/>
      <c r="C7" s="69"/>
      <c r="D7" s="93"/>
      <c r="E7" s="93" t="n">
        <f aca="false">F7*D7</f>
        <v>0</v>
      </c>
      <c r="F7" s="94"/>
      <c r="G7" s="73"/>
      <c r="H7" s="73"/>
    </row>
    <row r="8" customFormat="false" ht="15.75" hidden="false" customHeight="true" outlineLevel="0" collapsed="false">
      <c r="B8" s="74" t="s">
        <v>462</v>
      </c>
      <c r="C8" s="75"/>
      <c r="D8" s="75"/>
      <c r="E8" s="75"/>
      <c r="F8" s="95"/>
      <c r="G8" s="75"/>
      <c r="H8" s="75"/>
    </row>
    <row r="9" customFormat="false" ht="15.75" hidden="false" customHeight="true" outlineLevel="0" collapsed="false"/>
  </sheetData>
  <mergeCells count="1">
    <mergeCell ref="B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28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8.67"/>
    <col collapsed="false" customWidth="true" hidden="false" outlineLevel="0" max="9" min="8" style="1" width="14"/>
  </cols>
  <sheetData>
    <row r="1" customFormat="false" ht="6" hidden="false" customHeight="true" outlineLevel="0" collapsed="false"/>
    <row r="2" customFormat="false" ht="18" hidden="false" customHeight="true" outlineLevel="0" collapsed="false">
      <c r="B2" s="55" t="s">
        <v>463</v>
      </c>
      <c r="C2" s="55"/>
      <c r="D2" s="55"/>
      <c r="E2" s="55"/>
      <c r="F2" s="55"/>
      <c r="G2" s="55"/>
      <c r="H2" s="55"/>
      <c r="I2" s="55"/>
    </row>
    <row r="3" customFormat="false" ht="27.75" hidden="false" customHeight="true" outlineLevel="0" collapsed="false">
      <c r="B3" s="4" t="s">
        <v>464</v>
      </c>
      <c r="C3" s="4"/>
      <c r="D3" s="4"/>
      <c r="E3" s="4"/>
      <c r="F3" s="4"/>
      <c r="G3" s="4"/>
      <c r="H3" s="4"/>
      <c r="I3" s="4"/>
    </row>
    <row r="4" customFormat="false" ht="6" hidden="false" customHeight="true" outlineLevel="0" collapsed="false"/>
    <row r="5" customFormat="false" ht="15" hidden="false" customHeight="true" outlineLevel="0" collapsed="false">
      <c r="B5" s="96" t="s">
        <v>465</v>
      </c>
      <c r="C5" s="97"/>
      <c r="D5" s="98" t="n">
        <v>12</v>
      </c>
      <c r="E5" s="99" t="s">
        <v>466</v>
      </c>
      <c r="F5" s="100"/>
      <c r="G5" s="100"/>
      <c r="H5" s="100"/>
      <c r="I5" s="100"/>
    </row>
    <row r="6" customFormat="false" ht="6" hidden="false" customHeight="true" outlineLevel="0" collapsed="false"/>
    <row r="7" customFormat="false" ht="15.75" hidden="false" customHeight="true" outlineLevel="0" collapsed="false">
      <c r="B7" s="66" t="s">
        <v>467</v>
      </c>
      <c r="C7" s="66" t="s">
        <v>468</v>
      </c>
      <c r="D7" s="66" t="s">
        <v>4</v>
      </c>
      <c r="E7" s="66" t="s">
        <v>469</v>
      </c>
      <c r="F7" s="66" t="s">
        <v>470</v>
      </c>
      <c r="G7" s="66" t="s">
        <v>471</v>
      </c>
      <c r="H7" s="66" t="s">
        <v>472</v>
      </c>
      <c r="I7" s="66" t="s">
        <v>473</v>
      </c>
    </row>
    <row r="8" customFormat="false" ht="15" hidden="false" customHeight="true" outlineLevel="0" collapsed="false">
      <c r="B8" s="67"/>
      <c r="C8" s="67"/>
      <c r="D8" s="67"/>
      <c r="E8" s="81"/>
      <c r="F8" s="82" t="n">
        <f aca="false">$D$5</f>
        <v>12</v>
      </c>
      <c r="G8" s="82" t="n">
        <f aca="false">E8*F8</f>
        <v>0</v>
      </c>
      <c r="H8" s="71"/>
      <c r="I8" s="71"/>
    </row>
    <row r="9" customFormat="false" ht="15" hidden="false" customHeight="true" outlineLevel="0" collapsed="false">
      <c r="B9" s="69"/>
      <c r="C9" s="69"/>
      <c r="D9" s="69"/>
      <c r="E9" s="84"/>
      <c r="F9" s="85" t="n">
        <f aca="false">$D$5</f>
        <v>12</v>
      </c>
      <c r="G9" s="85" t="n">
        <f aca="false">E9*F9</f>
        <v>0</v>
      </c>
      <c r="H9" s="85"/>
      <c r="I9" s="93"/>
    </row>
    <row r="10" customFormat="false" ht="15" hidden="false" customHeight="true" outlineLevel="0" collapsed="false">
      <c r="B10" s="67"/>
      <c r="C10" s="67"/>
      <c r="D10" s="67"/>
      <c r="E10" s="81"/>
      <c r="F10" s="82" t="n">
        <f aca="false">$D$5</f>
        <v>12</v>
      </c>
      <c r="G10" s="82" t="n">
        <f aca="false">E10*F10</f>
        <v>0</v>
      </c>
      <c r="H10" s="82"/>
      <c r="I10" s="90"/>
    </row>
    <row r="11" customFormat="false" ht="15" hidden="false" customHeight="true" outlineLevel="0" collapsed="false">
      <c r="B11" s="69"/>
      <c r="C11" s="69"/>
      <c r="D11" s="69"/>
      <c r="E11" s="84"/>
      <c r="F11" s="85" t="n">
        <f aca="false">$D$5</f>
        <v>12</v>
      </c>
      <c r="G11" s="85" t="n">
        <f aca="false">E11*F11</f>
        <v>0</v>
      </c>
      <c r="H11" s="85"/>
      <c r="I11" s="93"/>
    </row>
    <row r="12" customFormat="false" ht="15" hidden="false" customHeight="true" outlineLevel="0" collapsed="false">
      <c r="B12" s="67"/>
      <c r="C12" s="67"/>
      <c r="D12" s="67"/>
      <c r="E12" s="81"/>
      <c r="F12" s="82" t="n">
        <f aca="false">$D$5</f>
        <v>12</v>
      </c>
      <c r="G12" s="82" t="n">
        <f aca="false">E12*F12</f>
        <v>0</v>
      </c>
      <c r="H12" s="82"/>
      <c r="I12" s="90"/>
    </row>
    <row r="13" customFormat="false" ht="15" hidden="false" customHeight="true" outlineLevel="0" collapsed="false">
      <c r="B13" s="69"/>
      <c r="C13" s="69"/>
      <c r="D13" s="69"/>
      <c r="E13" s="84"/>
      <c r="F13" s="85" t="n">
        <f aca="false">$D$5</f>
        <v>12</v>
      </c>
      <c r="G13" s="85" t="n">
        <f aca="false">E13*F13</f>
        <v>0</v>
      </c>
      <c r="H13" s="85"/>
      <c r="I13" s="93"/>
    </row>
    <row r="14" customFormat="false" ht="15" hidden="false" customHeight="true" outlineLevel="0" collapsed="false">
      <c r="B14" s="67"/>
      <c r="C14" s="67"/>
      <c r="D14" s="67"/>
      <c r="E14" s="81"/>
      <c r="F14" s="82" t="n">
        <f aca="false">$D$5</f>
        <v>12</v>
      </c>
      <c r="G14" s="82" t="n">
        <f aca="false">E14*F14</f>
        <v>0</v>
      </c>
      <c r="H14" s="82"/>
      <c r="I14" s="90"/>
    </row>
    <row r="15" customFormat="false" ht="15" hidden="false" customHeight="true" outlineLevel="0" collapsed="false">
      <c r="B15" s="69"/>
      <c r="C15" s="69"/>
      <c r="D15" s="69"/>
      <c r="E15" s="84"/>
      <c r="F15" s="85" t="n">
        <f aca="false">$D$5</f>
        <v>12</v>
      </c>
      <c r="G15" s="85" t="n">
        <f aca="false">E15*F15</f>
        <v>0</v>
      </c>
      <c r="H15" s="85"/>
      <c r="I15" s="93"/>
    </row>
    <row r="16" customFormat="false" ht="15" hidden="false" customHeight="true" outlineLevel="0" collapsed="false">
      <c r="B16" s="67"/>
      <c r="C16" s="67"/>
      <c r="D16" s="67"/>
      <c r="E16" s="81"/>
      <c r="F16" s="82" t="n">
        <f aca="false">$D$5</f>
        <v>12</v>
      </c>
      <c r="G16" s="82" t="n">
        <f aca="false">E16*F16</f>
        <v>0</v>
      </c>
      <c r="H16" s="71"/>
      <c r="I16" s="71"/>
    </row>
    <row r="17" customFormat="false" ht="15.75" hidden="false" customHeight="true" outlineLevel="0" collapsed="false">
      <c r="B17" s="74" t="s">
        <v>474</v>
      </c>
      <c r="C17" s="75"/>
      <c r="D17" s="75"/>
      <c r="E17" s="101" t="n">
        <f aca="false">SUM(E8:E16)</f>
        <v>0</v>
      </c>
      <c r="F17" s="75"/>
      <c r="G17" s="102" t="n">
        <f aca="false">SUM(G8:G16)</f>
        <v>0</v>
      </c>
      <c r="H17" s="75"/>
      <c r="I17" s="102" t="n">
        <f aca="false">SUM(I8:I16)</f>
        <v>0</v>
      </c>
    </row>
    <row r="18" customFormat="false" ht="18" hidden="false" customHeight="true" outlineLevel="0" collapsed="false">
      <c r="B18" s="55" t="s">
        <v>475</v>
      </c>
      <c r="C18" s="103"/>
      <c r="D18" s="103"/>
      <c r="E18" s="103"/>
      <c r="F18" s="103"/>
      <c r="G18" s="104" t="n">
        <f aca="false">G17</f>
        <v>0</v>
      </c>
      <c r="H18" s="103"/>
      <c r="I18" s="103"/>
    </row>
    <row r="19" customFormat="false" ht="13.5" hidden="false" customHeight="true" outlineLevel="0" collapsed="false">
      <c r="B19" s="80" t="s">
        <v>476</v>
      </c>
      <c r="C19" s="80"/>
      <c r="D19" s="80"/>
      <c r="E19" s="80"/>
      <c r="F19" s="80"/>
      <c r="G19" s="80"/>
      <c r="H19" s="80"/>
      <c r="I19" s="80"/>
    </row>
  </sheetData>
  <mergeCells count="3">
    <mergeCell ref="B2:I2"/>
    <mergeCell ref="B3:I3"/>
    <mergeCell ref="B19:I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"/>
    <col collapsed="false" customWidth="true" hidden="false" outlineLevel="0" max="3" min="3" style="1" width="32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10" min="8" style="1" width="14"/>
  </cols>
  <sheetData>
    <row r="1" customFormat="false" ht="6" hidden="false" customHeight="true" outlineLevel="0" collapsed="false"/>
    <row r="2" customFormat="false" ht="18" hidden="false" customHeight="true" outlineLevel="0" collapsed="false">
      <c r="B2" s="55" t="s">
        <v>477</v>
      </c>
      <c r="C2" s="55"/>
      <c r="D2" s="55"/>
      <c r="E2" s="55"/>
      <c r="F2" s="55"/>
      <c r="G2" s="55"/>
      <c r="H2" s="55"/>
      <c r="I2" s="55"/>
      <c r="J2" s="55"/>
    </row>
    <row r="3" customFormat="false" ht="15.75" hidden="false" customHeight="true" outlineLevel="0" collapsed="false">
      <c r="B3" s="66" t="s">
        <v>478</v>
      </c>
      <c r="C3" s="66" t="s">
        <v>354</v>
      </c>
      <c r="D3" s="66" t="s">
        <v>469</v>
      </c>
      <c r="E3" s="66" t="s">
        <v>479</v>
      </c>
      <c r="F3" s="66" t="s">
        <v>480</v>
      </c>
      <c r="G3" s="66" t="s">
        <v>481</v>
      </c>
      <c r="H3" s="66" t="s">
        <v>482</v>
      </c>
      <c r="I3" s="66" t="s">
        <v>468</v>
      </c>
      <c r="J3" s="66"/>
    </row>
    <row r="4" customFormat="false" ht="15" hidden="false" customHeight="true" outlineLevel="0" collapsed="false">
      <c r="B4" s="67" t="n">
        <v>1</v>
      </c>
      <c r="C4" s="67"/>
      <c r="D4" s="81"/>
      <c r="E4" s="82"/>
      <c r="F4" s="67"/>
      <c r="G4" s="105"/>
      <c r="H4" s="105"/>
      <c r="I4" s="71"/>
      <c r="J4" s="71"/>
    </row>
    <row r="5" customFormat="false" ht="15" hidden="false" customHeight="true" outlineLevel="0" collapsed="false">
      <c r="B5" s="69" t="n">
        <v>2</v>
      </c>
      <c r="C5" s="69"/>
      <c r="D5" s="84"/>
      <c r="E5" s="85"/>
      <c r="F5" s="69"/>
      <c r="G5" s="106"/>
      <c r="H5" s="106"/>
      <c r="I5" s="73"/>
      <c r="J5" s="73"/>
    </row>
    <row r="6" customFormat="false" ht="15" hidden="false" customHeight="true" outlineLevel="0" collapsed="false">
      <c r="B6" s="67" t="n">
        <v>3</v>
      </c>
      <c r="C6" s="67"/>
      <c r="D6" s="81"/>
      <c r="E6" s="82"/>
      <c r="F6" s="67"/>
      <c r="G6" s="105"/>
      <c r="H6" s="105"/>
      <c r="I6" s="71"/>
      <c r="J6" s="71"/>
    </row>
    <row r="7" customFormat="false" ht="15" hidden="false" customHeight="true" outlineLevel="0" collapsed="false">
      <c r="B7" s="69" t="n">
        <v>4</v>
      </c>
      <c r="C7" s="69"/>
      <c r="D7" s="84"/>
      <c r="E7" s="85"/>
      <c r="F7" s="69"/>
      <c r="G7" s="106"/>
      <c r="H7" s="106"/>
      <c r="I7" s="73"/>
      <c r="J7" s="73"/>
    </row>
    <row r="8" customFormat="false" ht="15" hidden="false" customHeight="true" outlineLevel="0" collapsed="false">
      <c r="B8" s="67" t="n">
        <v>5</v>
      </c>
      <c r="C8" s="67"/>
      <c r="D8" s="81"/>
      <c r="E8" s="82"/>
      <c r="F8" s="67"/>
      <c r="G8" s="105"/>
      <c r="H8" s="105"/>
      <c r="I8" s="71"/>
      <c r="J8" s="71"/>
    </row>
    <row r="9" customFormat="false" ht="15" hidden="false" customHeight="true" outlineLevel="0" collapsed="false">
      <c r="B9" s="69" t="n">
        <v>6</v>
      </c>
      <c r="C9" s="69"/>
      <c r="D9" s="84"/>
      <c r="E9" s="85"/>
      <c r="F9" s="69"/>
      <c r="G9" s="106"/>
      <c r="H9" s="106"/>
      <c r="I9" s="73"/>
      <c r="J9" s="73"/>
    </row>
    <row r="10" customFormat="false" ht="15" hidden="false" customHeight="true" outlineLevel="0" collapsed="false">
      <c r="B10" s="67" t="n">
        <v>7</v>
      </c>
      <c r="C10" s="67"/>
      <c r="D10" s="81"/>
      <c r="E10" s="82"/>
      <c r="F10" s="67"/>
      <c r="G10" s="105"/>
      <c r="H10" s="105"/>
      <c r="I10" s="71"/>
      <c r="J10" s="71"/>
    </row>
    <row r="11" customFormat="false" ht="15" hidden="false" customHeight="true" outlineLevel="0" collapsed="false">
      <c r="B11" s="69" t="n">
        <v>8</v>
      </c>
      <c r="C11" s="69"/>
      <c r="D11" s="84"/>
      <c r="E11" s="85"/>
      <c r="F11" s="69"/>
      <c r="G11" s="106"/>
      <c r="H11" s="106"/>
      <c r="I11" s="73"/>
      <c r="J11" s="73"/>
    </row>
    <row r="12" customFormat="false" ht="15" hidden="false" customHeight="true" outlineLevel="0" collapsed="false">
      <c r="B12" s="67" t="n">
        <v>9</v>
      </c>
      <c r="C12" s="67"/>
      <c r="D12" s="81"/>
      <c r="E12" s="82"/>
      <c r="F12" s="67"/>
      <c r="G12" s="105"/>
      <c r="H12" s="105"/>
      <c r="I12" s="71"/>
      <c r="J12" s="71"/>
    </row>
    <row r="13" customFormat="false" ht="15" hidden="false" customHeight="true" outlineLevel="0" collapsed="false">
      <c r="B13" s="69" t="n">
        <v>10</v>
      </c>
      <c r="C13" s="69"/>
      <c r="D13" s="84"/>
      <c r="E13" s="85"/>
      <c r="F13" s="69"/>
      <c r="G13" s="106"/>
      <c r="H13" s="106"/>
      <c r="I13" s="73"/>
      <c r="J13" s="73"/>
    </row>
    <row r="14" customFormat="false" ht="15" hidden="false" customHeight="true" outlineLevel="0" collapsed="false">
      <c r="B14" s="67" t="n">
        <v>11</v>
      </c>
      <c r="C14" s="67"/>
      <c r="D14" s="81"/>
      <c r="E14" s="82"/>
      <c r="F14" s="67"/>
      <c r="G14" s="105"/>
      <c r="H14" s="105"/>
      <c r="I14" s="71"/>
      <c r="J14" s="71"/>
    </row>
    <row r="15" customFormat="false" ht="15" hidden="false" customHeight="true" outlineLevel="0" collapsed="false">
      <c r="B15" s="69" t="n">
        <v>12</v>
      </c>
      <c r="C15" s="69"/>
      <c r="D15" s="84"/>
      <c r="E15" s="85"/>
      <c r="F15" s="69"/>
      <c r="G15" s="106"/>
      <c r="H15" s="106"/>
      <c r="I15" s="73"/>
      <c r="J15" s="73"/>
    </row>
    <row r="16" customFormat="false" ht="15.75" hidden="false" customHeight="true" outlineLevel="0" collapsed="false">
      <c r="B16" s="74" t="s">
        <v>483</v>
      </c>
      <c r="C16" s="75"/>
      <c r="D16" s="101"/>
      <c r="E16" s="107"/>
      <c r="F16" s="75"/>
      <c r="G16" s="75"/>
      <c r="H16" s="75"/>
      <c r="I16" s="75"/>
      <c r="J16" s="75"/>
    </row>
  </sheetData>
  <mergeCells count="1">
    <mergeCell ref="B2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4" min="2" style="1" width="16"/>
    <col collapsed="false" customWidth="true" hidden="false" outlineLevel="0" max="7" min="5" style="1" width="12"/>
  </cols>
  <sheetData>
    <row r="1" customFormat="false" ht="6" hidden="false" customHeight="true" outlineLevel="0" collapsed="false"/>
    <row r="2" customFormat="false" ht="18" hidden="false" customHeight="true" outlineLevel="0" collapsed="false">
      <c r="B2" s="55" t="s">
        <v>484</v>
      </c>
      <c r="C2" s="55"/>
      <c r="D2" s="55"/>
      <c r="E2" s="55"/>
      <c r="F2" s="55"/>
      <c r="G2" s="55"/>
    </row>
    <row r="3" customFormat="false" ht="15.75" hidden="false" customHeight="true" outlineLevel="0" collapsed="false">
      <c r="B3" s="66" t="s">
        <v>485</v>
      </c>
      <c r="C3" s="66" t="s">
        <v>486</v>
      </c>
      <c r="D3" s="66" t="s">
        <v>487</v>
      </c>
      <c r="E3" s="66"/>
      <c r="F3" s="66"/>
      <c r="G3" s="66"/>
    </row>
    <row r="4" customFormat="false" ht="15" hidden="false" customHeight="true" outlineLevel="0" collapsed="false">
      <c r="B4" s="67" t="s">
        <v>488</v>
      </c>
      <c r="C4" s="82" t="n">
        <v>12</v>
      </c>
      <c r="D4" s="82" t="n">
        <v>12.5</v>
      </c>
      <c r="E4" s="71"/>
      <c r="F4" s="71"/>
      <c r="G4" s="71"/>
    </row>
    <row r="5" customFormat="false" ht="15" hidden="false" customHeight="true" outlineLevel="0" collapsed="false">
      <c r="B5" s="69" t="s">
        <v>489</v>
      </c>
      <c r="C5" s="85" t="n">
        <v>14.5</v>
      </c>
      <c r="D5" s="85" t="n">
        <v>13.5</v>
      </c>
      <c r="E5" s="73"/>
      <c r="F5" s="73"/>
      <c r="G5" s="73"/>
    </row>
    <row r="6" customFormat="false" ht="15" hidden="false" customHeight="true" outlineLevel="0" collapsed="false">
      <c r="B6" s="67" t="s">
        <v>490</v>
      </c>
      <c r="C6" s="82" t="n">
        <v>17</v>
      </c>
      <c r="D6" s="82" t="n">
        <v>16</v>
      </c>
      <c r="E6" s="71"/>
      <c r="F6" s="71"/>
      <c r="G6" s="71"/>
    </row>
    <row r="7" customFormat="false" ht="15" hidden="false" customHeight="true" outlineLevel="0" collapsed="false">
      <c r="B7" s="69" t="s">
        <v>491</v>
      </c>
      <c r="C7" s="85" t="n">
        <v>14.2783333333333</v>
      </c>
      <c r="D7" s="85" t="n">
        <v>14.28</v>
      </c>
      <c r="E7" s="73"/>
      <c r="F7" s="73"/>
      <c r="G7" s="73"/>
    </row>
    <row r="8" customFormat="false" ht="15" hidden="false" customHeight="true" outlineLevel="0" collapsed="false">
      <c r="B8" s="67" t="s">
        <v>492</v>
      </c>
      <c r="C8" s="71" t="n">
        <v>6</v>
      </c>
      <c r="D8" s="71" t="n">
        <v>5</v>
      </c>
      <c r="E8" s="71"/>
      <c r="F8" s="71"/>
      <c r="G8" s="71"/>
    </row>
    <row r="9" customFormat="false" ht="6" hidden="false" customHeight="true" outlineLevel="0" collapsed="false"/>
    <row r="10" customFormat="false" ht="18" hidden="false" customHeight="true" outlineLevel="0" collapsed="false">
      <c r="B10" s="55" t="s">
        <v>493</v>
      </c>
      <c r="C10" s="55"/>
      <c r="D10" s="55"/>
      <c r="E10" s="55"/>
      <c r="F10" s="55"/>
      <c r="G10" s="55"/>
    </row>
    <row r="11" customFormat="false" ht="15.75" hidden="false" customHeight="true" outlineLevel="0" collapsed="false">
      <c r="B11" s="66" t="s">
        <v>485</v>
      </c>
      <c r="C11" s="66" t="s">
        <v>486</v>
      </c>
      <c r="D11" s="66" t="s">
        <v>487</v>
      </c>
      <c r="E11" s="66"/>
      <c r="F11" s="66"/>
      <c r="G11" s="66"/>
    </row>
    <row r="12" customFormat="false" ht="15" hidden="false" customHeight="true" outlineLevel="0" collapsed="false">
      <c r="B12" s="67" t="s">
        <v>488</v>
      </c>
      <c r="C12" s="81" t="n">
        <v>1063</v>
      </c>
      <c r="D12" s="81" t="n">
        <v>899</v>
      </c>
      <c r="E12" s="71"/>
      <c r="F12" s="71"/>
      <c r="G12" s="71"/>
    </row>
    <row r="13" customFormat="false" ht="15" hidden="false" customHeight="true" outlineLevel="0" collapsed="false">
      <c r="B13" s="69" t="s">
        <v>489</v>
      </c>
      <c r="C13" s="84" t="n">
        <v>2445</v>
      </c>
      <c r="D13" s="84" t="n">
        <v>1062</v>
      </c>
      <c r="E13" s="73"/>
      <c r="F13" s="73"/>
      <c r="G13" s="73"/>
    </row>
    <row r="14" customFormat="false" ht="15" hidden="false" customHeight="true" outlineLevel="0" collapsed="false">
      <c r="B14" s="67" t="s">
        <v>490</v>
      </c>
      <c r="C14" s="81" t="n">
        <v>5300</v>
      </c>
      <c r="D14" s="81" t="n">
        <v>4189</v>
      </c>
      <c r="E14" s="71"/>
      <c r="F14" s="71"/>
      <c r="G14" s="71"/>
    </row>
    <row r="15" customFormat="false" ht="15" hidden="false" customHeight="true" outlineLevel="0" collapsed="false">
      <c r="B15" s="69" t="s">
        <v>491</v>
      </c>
      <c r="C15" s="84" t="n">
        <v>2865.5</v>
      </c>
      <c r="D15" s="84" t="n">
        <v>1729.8</v>
      </c>
      <c r="E15" s="73"/>
      <c r="F15" s="73"/>
      <c r="G15" s="73"/>
    </row>
  </sheetData>
  <mergeCells count="2">
    <mergeCell ref="B2:G2"/>
    <mergeCell ref="B10:G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40.67"/>
    <col collapsed="false" customWidth="true" hidden="false" outlineLevel="0" max="10" min="4" style="1" width="12"/>
  </cols>
  <sheetData>
    <row r="1" customFormat="false" ht="6" hidden="false" customHeight="true" outlineLevel="0" collapsed="false"/>
    <row r="2" customFormat="false" ht="18" hidden="false" customHeight="true" outlineLevel="0" collapsed="false">
      <c r="B2" s="55" t="s">
        <v>494</v>
      </c>
      <c r="C2" s="55"/>
      <c r="D2" s="55"/>
      <c r="E2" s="55"/>
      <c r="F2" s="55"/>
      <c r="G2" s="55"/>
      <c r="H2" s="55"/>
      <c r="I2" s="55"/>
      <c r="J2" s="55"/>
    </row>
    <row r="3" customFormat="false" ht="13.5" hidden="false" customHeight="true" outlineLevel="0" collapsed="false">
      <c r="B3" s="65"/>
      <c r="C3" s="65"/>
      <c r="D3" s="65"/>
      <c r="E3" s="65"/>
      <c r="F3" s="65"/>
      <c r="G3" s="65"/>
      <c r="H3" s="65"/>
      <c r="I3" s="65"/>
      <c r="J3" s="65"/>
    </row>
    <row r="4" customFormat="false" ht="15.75" hidden="false" customHeight="true" outlineLevel="0" collapsed="false">
      <c r="B4" s="66" t="s">
        <v>478</v>
      </c>
      <c r="C4" s="66" t="s">
        <v>354</v>
      </c>
      <c r="D4" s="66" t="s">
        <v>479</v>
      </c>
      <c r="E4" s="66" t="s">
        <v>354</v>
      </c>
      <c r="F4" s="66" t="s">
        <v>374</v>
      </c>
      <c r="G4" s="66" t="s">
        <v>375</v>
      </c>
      <c r="H4" s="66" t="s">
        <v>495</v>
      </c>
      <c r="I4" s="66" t="s">
        <v>496</v>
      </c>
      <c r="J4" s="66" t="s">
        <v>379</v>
      </c>
    </row>
    <row r="5" customFormat="false" ht="15" hidden="false" customHeight="true" outlineLevel="0" collapsed="false">
      <c r="B5" s="67" t="n">
        <v>1</v>
      </c>
      <c r="C5" s="67"/>
      <c r="D5" s="82"/>
      <c r="E5" s="8"/>
      <c r="F5" s="8"/>
      <c r="G5" s="8"/>
      <c r="H5" s="8"/>
      <c r="I5" s="8"/>
      <c r="J5" s="8"/>
    </row>
    <row r="6" customFormat="false" ht="15" hidden="false" customHeight="true" outlineLevel="0" collapsed="false">
      <c r="B6" s="69" t="n">
        <v>2</v>
      </c>
      <c r="C6" s="69"/>
      <c r="D6" s="85"/>
      <c r="E6" s="11"/>
      <c r="F6" s="11"/>
      <c r="G6" s="11"/>
      <c r="H6" s="108"/>
      <c r="I6" s="109"/>
      <c r="J6" s="11"/>
    </row>
    <row r="7" customFormat="false" ht="15" hidden="false" customHeight="true" outlineLevel="0" collapsed="false">
      <c r="B7" s="67" t="n">
        <v>3</v>
      </c>
      <c r="C7" s="67"/>
      <c r="D7" s="82"/>
      <c r="E7" s="8"/>
      <c r="F7" s="8"/>
      <c r="G7" s="8"/>
      <c r="H7" s="8"/>
      <c r="I7" s="8"/>
      <c r="J7" s="8"/>
    </row>
    <row r="8" customFormat="false" ht="15" hidden="false" customHeight="true" outlineLevel="0" collapsed="false">
      <c r="B8" s="69" t="n">
        <v>4</v>
      </c>
      <c r="C8" s="69"/>
      <c r="D8" s="85"/>
      <c r="E8" s="11"/>
      <c r="F8" s="11"/>
      <c r="G8" s="11"/>
      <c r="H8" s="108"/>
      <c r="I8" s="109"/>
      <c r="J8" s="11"/>
    </row>
    <row r="9" customFormat="false" ht="15" hidden="false" customHeight="true" outlineLevel="0" collapsed="false">
      <c r="B9" s="67" t="n">
        <v>5</v>
      </c>
      <c r="C9" s="67"/>
      <c r="D9" s="82"/>
      <c r="E9" s="8"/>
      <c r="F9" s="8"/>
      <c r="G9" s="8"/>
      <c r="H9" s="8"/>
      <c r="I9" s="8"/>
      <c r="J9" s="108"/>
    </row>
    <row r="10" customFormat="false" ht="15" hidden="false" customHeight="true" outlineLevel="0" collapsed="false">
      <c r="B10" s="69" t="n">
        <v>6</v>
      </c>
      <c r="C10" s="69"/>
      <c r="D10" s="85"/>
      <c r="E10" s="108"/>
      <c r="F10" s="108"/>
      <c r="G10" s="11"/>
      <c r="H10" s="108"/>
      <c r="I10" s="109"/>
      <c r="J10" s="108"/>
    </row>
    <row r="11" customFormat="false" ht="15" hidden="false" customHeight="true" outlineLevel="0" collapsed="false">
      <c r="B11" s="67" t="n">
        <v>7</v>
      </c>
      <c r="C11" s="67"/>
      <c r="D11" s="82"/>
      <c r="E11" s="109"/>
      <c r="F11" s="8"/>
      <c r="G11" s="8"/>
      <c r="H11" s="8"/>
      <c r="I11" s="8"/>
      <c r="J11" s="109"/>
    </row>
    <row r="12" customFormat="false" ht="15" hidden="false" customHeight="true" outlineLevel="0" collapsed="false">
      <c r="B12" s="69" t="n">
        <v>8</v>
      </c>
      <c r="C12" s="69"/>
      <c r="D12" s="85"/>
      <c r="E12" s="11"/>
      <c r="F12" s="108"/>
      <c r="G12" s="108"/>
      <c r="H12" s="109"/>
      <c r="I12" s="11"/>
      <c r="J12" s="108"/>
    </row>
    <row r="13" customFormat="false" ht="15" hidden="false" customHeight="true" outlineLevel="0" collapsed="false">
      <c r="B13" s="67" t="n">
        <v>9</v>
      </c>
      <c r="C13" s="67"/>
      <c r="D13" s="82"/>
      <c r="E13" s="8"/>
      <c r="F13" s="8"/>
      <c r="G13" s="8"/>
      <c r="H13" s="108"/>
      <c r="I13" s="8"/>
      <c r="J13" s="108"/>
    </row>
    <row r="14" customFormat="false" ht="15" hidden="false" customHeight="true" outlineLevel="0" collapsed="false">
      <c r="B14" s="69" t="n">
        <v>10</v>
      </c>
      <c r="C14" s="69"/>
      <c r="D14" s="85"/>
      <c r="E14" s="108"/>
      <c r="F14" s="108"/>
      <c r="G14" s="11"/>
      <c r="H14" s="109"/>
      <c r="I14" s="109"/>
      <c r="J14" s="108"/>
    </row>
    <row r="15" customFormat="false" ht="15" hidden="false" customHeight="true" outlineLevel="0" collapsed="false">
      <c r="B15" s="67" t="n">
        <v>11</v>
      </c>
      <c r="C15" s="67"/>
      <c r="D15" s="82"/>
      <c r="E15" s="8"/>
      <c r="F15" s="8"/>
      <c r="G15" s="8"/>
      <c r="H15" s="108"/>
      <c r="I15" s="109"/>
      <c r="J15" s="8"/>
    </row>
    <row r="16" customFormat="false" ht="15" hidden="false" customHeight="true" outlineLevel="0" collapsed="false">
      <c r="B16" s="69" t="n">
        <v>12</v>
      </c>
      <c r="C16" s="69"/>
      <c r="D16" s="85"/>
      <c r="E16" s="109"/>
      <c r="F16" s="11"/>
      <c r="G16" s="11"/>
      <c r="H16" s="108"/>
      <c r="I16" s="109"/>
      <c r="J16" s="109"/>
    </row>
    <row r="17" customFormat="false" ht="6" hidden="false" customHeight="true" outlineLevel="0" collapsed="false"/>
    <row r="18" customFormat="false" ht="18" hidden="false" customHeight="true" outlineLevel="0" collapsed="false">
      <c r="B18" s="55" t="s">
        <v>497</v>
      </c>
      <c r="C18" s="55"/>
      <c r="D18" s="55"/>
      <c r="E18" s="55"/>
      <c r="F18" s="55"/>
      <c r="G18" s="55"/>
      <c r="H18" s="55"/>
      <c r="I18" s="55"/>
      <c r="J18" s="55"/>
    </row>
    <row r="19" customFormat="false" ht="27.75" hidden="false" customHeight="true" outlineLevel="0" collapsed="false">
      <c r="B19" s="67" t="s">
        <v>498</v>
      </c>
      <c r="C19" s="67"/>
      <c r="D19" s="67"/>
      <c r="E19" s="67"/>
      <c r="F19" s="67"/>
      <c r="G19" s="67"/>
      <c r="H19" s="67"/>
      <c r="I19" s="67"/>
      <c r="J19" s="67"/>
    </row>
    <row r="20" customFormat="false" ht="35.25" hidden="false" customHeight="true" outlineLevel="0" collapsed="false">
      <c r="B20" s="69" t="s">
        <v>499</v>
      </c>
      <c r="C20" s="69"/>
      <c r="D20" s="69"/>
      <c r="E20" s="69"/>
      <c r="F20" s="69"/>
      <c r="G20" s="69"/>
      <c r="H20" s="69"/>
      <c r="I20" s="69"/>
      <c r="J20" s="69"/>
    </row>
    <row r="21" customFormat="false" ht="35.25" hidden="false" customHeight="true" outlineLevel="0" collapsed="false">
      <c r="B21" s="69" t="s">
        <v>500</v>
      </c>
      <c r="C21" s="69"/>
      <c r="D21" s="69"/>
      <c r="E21" s="69"/>
      <c r="F21" s="69"/>
      <c r="G21" s="69"/>
      <c r="H21" s="69"/>
      <c r="I21" s="69"/>
      <c r="J21" s="69"/>
    </row>
    <row r="22" customFormat="false" ht="36.75" hidden="false" customHeight="true" outlineLevel="0" collapsed="false">
      <c r="B22" s="67" t="s">
        <v>501</v>
      </c>
      <c r="C22" s="67"/>
      <c r="D22" s="67"/>
      <c r="E22" s="67"/>
      <c r="F22" s="67"/>
      <c r="G22" s="67"/>
      <c r="H22" s="67"/>
      <c r="I22" s="67"/>
      <c r="J22" s="67"/>
    </row>
    <row r="23" customFormat="false" ht="6" hidden="false" customHeight="true" outlineLevel="0" collapsed="false"/>
    <row r="24" customFormat="false" ht="13.5" hidden="false" customHeight="true" outlineLevel="0" collapsed="false">
      <c r="B24" s="76" t="s">
        <v>502</v>
      </c>
      <c r="C24" s="76" t="s">
        <v>381</v>
      </c>
      <c r="D24" s="76" t="s">
        <v>380</v>
      </c>
      <c r="E24" s="76" t="s">
        <v>382</v>
      </c>
      <c r="F24" s="76"/>
      <c r="G24" s="76"/>
      <c r="H24" s="76"/>
      <c r="I24" s="76"/>
      <c r="J24" s="76"/>
    </row>
  </sheetData>
  <mergeCells count="3">
    <mergeCell ref="B2:J2"/>
    <mergeCell ref="B3:J3"/>
    <mergeCell ref="B18:J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7" min="5" style="1" width="14"/>
    <col collapsed="false" customWidth="true" hidden="false" outlineLevel="0" max="10" min="8" style="1" width="12"/>
  </cols>
  <sheetData>
    <row r="1" customFormat="false" ht="6" hidden="false" customHeight="true" outlineLevel="0" collapsed="false"/>
    <row r="2" customFormat="false" ht="18" hidden="false" customHeight="true" outlineLevel="0" collapsed="false">
      <c r="B2" s="55" t="s">
        <v>503</v>
      </c>
      <c r="C2" s="55"/>
      <c r="D2" s="55"/>
      <c r="E2" s="55"/>
      <c r="F2" s="55"/>
      <c r="G2" s="55"/>
      <c r="H2" s="55"/>
      <c r="I2" s="55"/>
      <c r="J2" s="55"/>
    </row>
    <row r="3" customFormat="false" ht="15.75" hidden="false" customHeight="true" outlineLevel="0" collapsed="false">
      <c r="B3" s="66" t="s">
        <v>467</v>
      </c>
      <c r="C3" s="66" t="s">
        <v>468</v>
      </c>
      <c r="D3" s="66" t="s">
        <v>469</v>
      </c>
      <c r="E3" s="66" t="s">
        <v>504</v>
      </c>
      <c r="F3" s="66" t="s">
        <v>505</v>
      </c>
      <c r="G3" s="66" t="s">
        <v>479</v>
      </c>
      <c r="H3" s="66" t="s">
        <v>506</v>
      </c>
      <c r="I3" s="66" t="s">
        <v>507</v>
      </c>
      <c r="J3" s="66"/>
    </row>
    <row r="4" customFormat="false" ht="15" hidden="false" customHeight="true" outlineLevel="0" collapsed="false">
      <c r="B4" s="67"/>
      <c r="C4" s="67"/>
      <c r="D4" s="81"/>
      <c r="E4" s="82"/>
      <c r="F4" s="82"/>
      <c r="G4" s="82"/>
      <c r="H4" s="105"/>
      <c r="I4" s="105"/>
      <c r="J4" s="71"/>
    </row>
    <row r="5" customFormat="false" ht="15" hidden="false" customHeight="true" outlineLevel="0" collapsed="false">
      <c r="B5" s="69"/>
      <c r="C5" s="69"/>
      <c r="D5" s="84"/>
      <c r="E5" s="85"/>
      <c r="F5" s="85"/>
      <c r="G5" s="85"/>
      <c r="H5" s="106"/>
      <c r="I5" s="106"/>
      <c r="J5" s="73"/>
    </row>
    <row r="6" customFormat="false" ht="15" hidden="false" customHeight="true" outlineLevel="0" collapsed="false">
      <c r="B6" s="67"/>
      <c r="C6" s="67"/>
      <c r="D6" s="81"/>
      <c r="E6" s="82"/>
      <c r="F6" s="82"/>
      <c r="G6" s="82"/>
      <c r="H6" s="105"/>
      <c r="I6" s="105"/>
      <c r="J6" s="71"/>
    </row>
    <row r="7" customFormat="false" ht="15" hidden="false" customHeight="true" outlineLevel="0" collapsed="false">
      <c r="B7" s="69"/>
      <c r="C7" s="69"/>
      <c r="D7" s="84"/>
      <c r="E7" s="85"/>
      <c r="F7" s="85"/>
      <c r="G7" s="85"/>
      <c r="H7" s="106"/>
      <c r="I7" s="106"/>
      <c r="J7" s="73"/>
    </row>
    <row r="8" customFormat="false" ht="15" hidden="false" customHeight="true" outlineLevel="0" collapsed="false">
      <c r="B8" s="67"/>
      <c r="C8" s="67"/>
      <c r="D8" s="81"/>
      <c r="E8" s="82"/>
      <c r="F8" s="82"/>
      <c r="G8" s="82"/>
      <c r="H8" s="105"/>
      <c r="I8" s="105"/>
      <c r="J8" s="71"/>
    </row>
    <row r="9" customFormat="false" ht="15" hidden="false" customHeight="true" outlineLevel="0" collapsed="false">
      <c r="B9" s="69"/>
      <c r="C9" s="69"/>
      <c r="D9" s="84"/>
      <c r="E9" s="85"/>
      <c r="F9" s="85"/>
      <c r="G9" s="85"/>
      <c r="H9" s="106"/>
      <c r="I9" s="106"/>
      <c r="J9" s="73"/>
    </row>
    <row r="10" customFormat="false" ht="15" hidden="false" customHeight="true" outlineLevel="0" collapsed="false">
      <c r="B10" s="67"/>
      <c r="C10" s="67"/>
      <c r="D10" s="81"/>
      <c r="E10" s="82"/>
      <c r="F10" s="82"/>
      <c r="G10" s="82"/>
      <c r="H10" s="105"/>
      <c r="I10" s="105"/>
      <c r="J10" s="71"/>
    </row>
    <row r="11" customFormat="false" ht="15" hidden="false" customHeight="true" outlineLevel="0" collapsed="false">
      <c r="B11" s="69"/>
      <c r="C11" s="69"/>
      <c r="D11" s="84"/>
      <c r="E11" s="85"/>
      <c r="F11" s="85"/>
      <c r="G11" s="85"/>
      <c r="H11" s="106"/>
      <c r="I11" s="106"/>
      <c r="J11" s="73"/>
    </row>
    <row r="12" customFormat="false" ht="15" hidden="false" customHeight="true" outlineLevel="0" collapsed="false">
      <c r="B12" s="67"/>
      <c r="C12" s="67"/>
      <c r="D12" s="81"/>
      <c r="E12" s="82"/>
      <c r="F12" s="82"/>
      <c r="G12" s="82"/>
      <c r="H12" s="105"/>
      <c r="I12" s="105"/>
      <c r="J12" s="71"/>
    </row>
    <row r="13" customFormat="false" ht="15.75" hidden="false" customHeight="true" outlineLevel="0" collapsed="false">
      <c r="B13" s="74" t="s">
        <v>508</v>
      </c>
      <c r="C13" s="75"/>
      <c r="D13" s="101"/>
      <c r="E13" s="107"/>
      <c r="F13" s="107"/>
      <c r="G13" s="75"/>
      <c r="H13" s="75"/>
      <c r="I13" s="75"/>
      <c r="J13" s="75"/>
    </row>
    <row r="14" customFormat="false" ht="15" hidden="false" customHeight="true" outlineLevel="0" collapsed="false">
      <c r="B14" s="76"/>
      <c r="C14" s="110" t="s">
        <v>509</v>
      </c>
      <c r="D14" s="111"/>
      <c r="E14" s="112"/>
      <c r="F14" s="112"/>
      <c r="G14" s="113"/>
      <c r="H14" s="110"/>
      <c r="I14" s="110"/>
      <c r="J14" s="110"/>
    </row>
  </sheetData>
  <mergeCells count="1">
    <mergeCell ref="B2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21"/>
    <col collapsed="false" customWidth="true" hidden="false" outlineLevel="0" max="4" min="4" style="1" width="16"/>
    <col collapsed="false" customWidth="true" hidden="false" outlineLevel="0" max="5" min="5" style="1" width="25"/>
    <col collapsed="false" customWidth="true" hidden="false" outlineLevel="0" max="6" min="6" style="1" width="25.11"/>
    <col collapsed="false" customWidth="true" hidden="false" outlineLevel="0" max="7" min="7" style="1" width="16"/>
    <col collapsed="false" customWidth="true" hidden="false" outlineLevel="0" max="8" min="8" style="1" width="23"/>
    <col collapsed="false" customWidth="true" hidden="false" outlineLevel="0" max="9" min="9" style="1" width="12"/>
  </cols>
  <sheetData>
    <row r="1" customFormat="false" ht="6" hidden="false" customHeight="true" outlineLevel="0" collapsed="false"/>
    <row r="2" customFormat="false" ht="18" hidden="false" customHeight="true" outlineLevel="0" collapsed="false">
      <c r="B2" s="55" t="s">
        <v>510</v>
      </c>
      <c r="C2" s="55"/>
      <c r="D2" s="55"/>
      <c r="E2" s="55"/>
      <c r="F2" s="55"/>
      <c r="G2" s="55"/>
      <c r="H2" s="55"/>
      <c r="I2" s="55"/>
    </row>
    <row r="3" customFormat="false" ht="27.75" hidden="false" customHeight="true" outlineLevel="0" collapsed="false">
      <c r="B3" s="4" t="s">
        <v>511</v>
      </c>
      <c r="C3" s="4"/>
      <c r="D3" s="4"/>
      <c r="E3" s="4"/>
      <c r="F3" s="4"/>
      <c r="G3" s="4"/>
      <c r="H3" s="4"/>
      <c r="I3" s="4"/>
    </row>
    <row r="4" customFormat="false" ht="6" hidden="false" customHeight="true" outlineLevel="0" collapsed="false"/>
    <row r="5" customFormat="false" ht="30" hidden="false" customHeight="true" outlineLevel="0" collapsed="false">
      <c r="B5" s="66" t="s">
        <v>512</v>
      </c>
      <c r="C5" s="66" t="s">
        <v>513</v>
      </c>
      <c r="D5" s="66" t="s">
        <v>514</v>
      </c>
      <c r="E5" s="66" t="s">
        <v>515</v>
      </c>
      <c r="F5" s="66" t="s">
        <v>516</v>
      </c>
      <c r="G5" s="66" t="s">
        <v>517</v>
      </c>
      <c r="H5" s="66" t="s">
        <v>518</v>
      </c>
      <c r="I5" s="66"/>
    </row>
    <row r="6" customFormat="false" ht="15" hidden="false" customHeight="true" outlineLevel="0" collapsed="false">
      <c r="B6" s="67" t="s">
        <v>519</v>
      </c>
      <c r="C6" s="82" t="n">
        <v>0.36</v>
      </c>
      <c r="D6" s="82" t="n">
        <v>8160.48</v>
      </c>
      <c r="E6" s="82" t="n">
        <v>0.62</v>
      </c>
      <c r="F6" s="82" t="n">
        <v>14054.16</v>
      </c>
      <c r="G6" s="114" t="s">
        <v>520</v>
      </c>
      <c r="H6" s="71" t="s">
        <v>521</v>
      </c>
      <c r="I6" s="71"/>
    </row>
    <row r="7" customFormat="false" ht="15" hidden="false" customHeight="true" outlineLevel="0" collapsed="false">
      <c r="B7" s="69" t="s">
        <v>522</v>
      </c>
      <c r="C7" s="85" t="n">
        <v>0.89</v>
      </c>
      <c r="D7" s="85" t="n">
        <v>20174.52</v>
      </c>
      <c r="E7" s="85" t="n">
        <v>1.01</v>
      </c>
      <c r="F7" s="85" t="n">
        <v>22894.68</v>
      </c>
      <c r="G7" s="114" t="n">
        <v>1.2717</v>
      </c>
      <c r="H7" s="93" t="n">
        <v>28827</v>
      </c>
      <c r="I7" s="73"/>
    </row>
    <row r="8" customFormat="false" ht="15" hidden="false" customHeight="true" outlineLevel="0" collapsed="false">
      <c r="B8" s="67" t="s">
        <v>523</v>
      </c>
      <c r="C8" s="82" t="n">
        <v>0.47</v>
      </c>
      <c r="D8" s="82" t="n">
        <v>10653.96</v>
      </c>
      <c r="E8" s="82" t="n">
        <v>0.25</v>
      </c>
      <c r="F8" s="82" t="n">
        <v>5667</v>
      </c>
      <c r="G8" s="114" t="n">
        <v>0.3309</v>
      </c>
      <c r="H8" s="90" t="n">
        <v>7500</v>
      </c>
      <c r="I8" s="71"/>
    </row>
    <row r="9" customFormat="false" ht="15" hidden="false" customHeight="true" outlineLevel="0" collapsed="false">
      <c r="B9" s="69" t="s">
        <v>524</v>
      </c>
      <c r="C9" s="85" t="n">
        <v>2.38</v>
      </c>
      <c r="D9" s="85" t="n">
        <v>53949.84</v>
      </c>
      <c r="E9" s="85" t="n">
        <v>2.34</v>
      </c>
      <c r="F9" s="85" t="n">
        <v>53043.12</v>
      </c>
      <c r="G9" s="114" t="n">
        <v>2.316</v>
      </c>
      <c r="H9" s="93" t="n">
        <v>52500</v>
      </c>
      <c r="I9" s="73"/>
    </row>
    <row r="10" customFormat="false" ht="15" hidden="false" customHeight="true" outlineLevel="0" collapsed="false">
      <c r="B10" s="67" t="s">
        <v>525</v>
      </c>
      <c r="C10" s="82" t="n">
        <v>1.94</v>
      </c>
      <c r="D10" s="82" t="n">
        <v>43975.92</v>
      </c>
      <c r="E10" s="82" t="n">
        <v>0.97</v>
      </c>
      <c r="F10" s="82" t="n">
        <v>21987.96</v>
      </c>
      <c r="G10" s="114" t="n">
        <v>0.9926</v>
      </c>
      <c r="H10" s="90" t="n">
        <v>22500</v>
      </c>
      <c r="I10" s="71"/>
    </row>
    <row r="11" customFormat="false" ht="15" hidden="false" customHeight="true" outlineLevel="0" collapsed="false">
      <c r="B11" s="69" t="s">
        <v>526</v>
      </c>
      <c r="C11" s="85" t="n">
        <v>0.07</v>
      </c>
      <c r="D11" s="85" t="n">
        <v>1586.76</v>
      </c>
      <c r="E11" s="85" t="n">
        <v>0.07</v>
      </c>
      <c r="F11" s="85" t="n">
        <v>1586.76</v>
      </c>
      <c r="G11" s="114" t="n">
        <v>0.0662</v>
      </c>
      <c r="H11" s="93" t="n">
        <v>1500</v>
      </c>
      <c r="I11" s="73"/>
    </row>
    <row r="12" customFormat="false" ht="15" hidden="false" customHeight="true" outlineLevel="0" collapsed="false">
      <c r="B12" s="67" t="s">
        <v>527</v>
      </c>
      <c r="C12" s="82" t="n">
        <v>0.04</v>
      </c>
      <c r="D12" s="82" t="n">
        <v>906.72</v>
      </c>
      <c r="E12" s="82" t="n">
        <v>0.04</v>
      </c>
      <c r="F12" s="82" t="n">
        <v>906.72</v>
      </c>
      <c r="G12" s="114" t="n">
        <v>0.0441</v>
      </c>
      <c r="H12" s="90" t="n">
        <v>1000</v>
      </c>
      <c r="I12" s="71"/>
    </row>
    <row r="13" customFormat="false" ht="15.75" hidden="false" customHeight="true" outlineLevel="0" collapsed="false">
      <c r="B13" s="74" t="s">
        <v>474</v>
      </c>
      <c r="C13" s="75"/>
      <c r="D13" s="102" t="n">
        <f aca="false">SUM(D6:D12)</f>
        <v>139408.2</v>
      </c>
      <c r="E13" s="75"/>
      <c r="F13" s="102" t="n">
        <f aca="false">SUM(F6:F12)</f>
        <v>120140.4</v>
      </c>
      <c r="G13" s="75"/>
      <c r="H13" s="102" t="n">
        <f aca="false">SUM(H6:H12)</f>
        <v>113827</v>
      </c>
      <c r="I13" s="75"/>
    </row>
    <row r="14" customFormat="false" ht="27.75" hidden="false" customHeight="true" outlineLevel="0" collapsed="false">
      <c r="B14" s="80" t="s">
        <v>528</v>
      </c>
      <c r="C14" s="80"/>
      <c r="D14" s="80"/>
      <c r="E14" s="80"/>
      <c r="F14" s="80"/>
      <c r="G14" s="80"/>
      <c r="H14" s="80"/>
      <c r="I14" s="80"/>
    </row>
  </sheetData>
  <mergeCells count="3">
    <mergeCell ref="B2:I2"/>
    <mergeCell ref="B3:I3"/>
    <mergeCell ref="B14:I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4" min="3" style="1" width="16"/>
    <col collapsed="false" customWidth="true" hidden="false" outlineLevel="0" max="5" min="5" style="1" width="12"/>
  </cols>
  <sheetData>
    <row r="1" customFormat="false" ht="6" hidden="false" customHeight="true" outlineLevel="0" collapsed="false"/>
    <row r="2" customFormat="false" ht="18" hidden="false" customHeight="true" outlineLevel="0" collapsed="false">
      <c r="B2" s="55" t="s">
        <v>529</v>
      </c>
      <c r="C2" s="55"/>
      <c r="D2" s="55"/>
      <c r="E2" s="55"/>
    </row>
    <row r="3" customFormat="false" ht="15.75" hidden="false" customHeight="true" outlineLevel="0" collapsed="false">
      <c r="B3" s="66" t="s">
        <v>530</v>
      </c>
      <c r="C3" s="66" t="s">
        <v>531</v>
      </c>
      <c r="D3" s="66" t="s">
        <v>432</v>
      </c>
      <c r="E3" s="66"/>
    </row>
    <row r="4" customFormat="false" ht="15" hidden="false" customHeight="true" outlineLevel="0" collapsed="false">
      <c r="B4" s="76" t="s">
        <v>532</v>
      </c>
      <c r="C4" s="76"/>
      <c r="D4" s="76"/>
      <c r="E4" s="76"/>
    </row>
    <row r="5" customFormat="false" ht="15" hidden="false" customHeight="true" outlineLevel="0" collapsed="false">
      <c r="B5" s="67" t="s">
        <v>533</v>
      </c>
      <c r="C5" s="115"/>
      <c r="D5" s="90" t="n">
        <f aca="false">pgi_calc!G17</f>
        <v>0</v>
      </c>
      <c r="E5" s="71"/>
    </row>
    <row r="6" customFormat="false" ht="15" hidden="false" customHeight="true" outlineLevel="0" collapsed="false">
      <c r="B6" s="69" t="s">
        <v>534</v>
      </c>
      <c r="C6" s="116"/>
      <c r="D6" s="117" t="n">
        <v>62797</v>
      </c>
      <c r="E6" s="73"/>
    </row>
    <row r="7" customFormat="false" ht="15" hidden="false" customHeight="true" outlineLevel="0" collapsed="false">
      <c r="B7" s="67" t="s">
        <v>535</v>
      </c>
      <c r="C7" s="118" t="n">
        <v>0.2</v>
      </c>
      <c r="D7" s="90" t="n">
        <f aca="false">-C7*(D5+D6)</f>
        <v>-12559.4</v>
      </c>
      <c r="E7" s="71"/>
    </row>
    <row r="8" customFormat="false" ht="15" hidden="false" customHeight="true" outlineLevel="0" collapsed="false">
      <c r="B8" s="74" t="s">
        <v>536</v>
      </c>
      <c r="C8" s="119"/>
      <c r="D8" s="102" t="n">
        <f aca="false">D5+D6+D7</f>
        <v>50237.6</v>
      </c>
      <c r="E8" s="120"/>
    </row>
    <row r="9" customFormat="false" ht="15" hidden="false" customHeight="true" outlineLevel="0" collapsed="false">
      <c r="B9" s="76" t="s">
        <v>537</v>
      </c>
      <c r="C9" s="76"/>
      <c r="D9" s="76"/>
      <c r="E9" s="76"/>
    </row>
    <row r="10" customFormat="false" ht="15" hidden="false" customHeight="true" outlineLevel="0" collapsed="false">
      <c r="B10" s="67" t="s">
        <v>538</v>
      </c>
      <c r="C10" s="118" t="n">
        <v>0.06</v>
      </c>
      <c r="D10" s="90" t="n">
        <f aca="false">C10*D8</f>
        <v>3014.256</v>
      </c>
      <c r="E10" s="71"/>
    </row>
    <row r="11" customFormat="false" ht="15" hidden="false" customHeight="true" outlineLevel="0" collapsed="false">
      <c r="B11" s="69" t="s">
        <v>539</v>
      </c>
      <c r="C11" s="116"/>
      <c r="D11" s="93" t="n">
        <f aca="false">expense_comp!H8</f>
        <v>7500</v>
      </c>
      <c r="E11" s="73"/>
    </row>
    <row r="12" customFormat="false" ht="15" hidden="false" customHeight="true" outlineLevel="0" collapsed="false">
      <c r="B12" s="67" t="s">
        <v>540</v>
      </c>
      <c r="C12" s="115"/>
      <c r="D12" s="90" t="n">
        <f aca="false">expense_comp!H9</f>
        <v>52500</v>
      </c>
      <c r="E12" s="71"/>
    </row>
    <row r="13" customFormat="false" ht="15" hidden="false" customHeight="true" outlineLevel="0" collapsed="false">
      <c r="B13" s="69" t="s">
        <v>541</v>
      </c>
      <c r="C13" s="116"/>
      <c r="D13" s="93" t="n">
        <f aca="false">expense_comp!H10</f>
        <v>22500</v>
      </c>
      <c r="E13" s="73"/>
    </row>
    <row r="14" customFormat="false" ht="15" hidden="false" customHeight="true" outlineLevel="0" collapsed="false">
      <c r="B14" s="67" t="s">
        <v>542</v>
      </c>
      <c r="C14" s="115"/>
      <c r="D14" s="90" t="n">
        <f aca="false">expense_comp!H11</f>
        <v>1500</v>
      </c>
      <c r="E14" s="71"/>
    </row>
    <row r="15" customFormat="false" ht="15" hidden="false" customHeight="true" outlineLevel="0" collapsed="false">
      <c r="B15" s="69" t="s">
        <v>543</v>
      </c>
      <c r="C15" s="116"/>
      <c r="D15" s="93" t="n">
        <f aca="false">expense_comp!H12</f>
        <v>1000</v>
      </c>
      <c r="E15" s="73"/>
    </row>
    <row r="16" customFormat="false" ht="15" hidden="false" customHeight="true" outlineLevel="0" collapsed="false">
      <c r="B16" s="67" t="s">
        <v>544</v>
      </c>
      <c r="C16" s="115"/>
      <c r="D16" s="90" t="n">
        <f aca="false">expense_comp!H13</f>
        <v>113827</v>
      </c>
      <c r="E16" s="71"/>
    </row>
    <row r="17" customFormat="false" ht="15.75" hidden="false" customHeight="true" outlineLevel="0" collapsed="false">
      <c r="B17" s="74" t="s">
        <v>545</v>
      </c>
      <c r="C17" s="121" t="n">
        <f aca="false">D17/D8</f>
        <v>4.01773285348026</v>
      </c>
      <c r="D17" s="102" t="n">
        <f aca="false">SUM(D10:D16)</f>
        <v>201841.256</v>
      </c>
      <c r="E17" s="75"/>
    </row>
    <row r="18" customFormat="false" ht="18" hidden="false" customHeight="true" outlineLevel="0" collapsed="false">
      <c r="B18" s="77" t="s">
        <v>546</v>
      </c>
      <c r="C18" s="122"/>
      <c r="D18" s="123" t="n">
        <f aca="false">D8-D17</f>
        <v>-151603.656</v>
      </c>
      <c r="E18" s="79"/>
    </row>
    <row r="19" customFormat="false" ht="15" hidden="false" customHeight="true" outlineLevel="0" collapsed="false">
      <c r="B19" s="67" t="s">
        <v>547</v>
      </c>
      <c r="C19" s="124" t="n">
        <v>0.095</v>
      </c>
      <c r="D19" s="71"/>
      <c r="E19" s="71"/>
    </row>
    <row r="20" customFormat="false" ht="18" hidden="false" customHeight="true" outlineLevel="0" collapsed="false">
      <c r="B20" s="77" t="s">
        <v>548</v>
      </c>
      <c r="C20" s="123" t="n">
        <f aca="false">D18/C19</f>
        <v>-1595827.95789474</v>
      </c>
      <c r="D20" s="122"/>
      <c r="E20" s="79"/>
    </row>
    <row r="21" customFormat="false" ht="15.75" hidden="false" customHeight="true" outlineLevel="0" collapsed="false">
      <c r="B21" s="74" t="s">
        <v>549</v>
      </c>
      <c r="C21" s="102" t="n">
        <f aca="false">ROUND(C20/25000,0)*25000</f>
        <v>-1600000</v>
      </c>
      <c r="D21" s="75"/>
      <c r="E21" s="75"/>
    </row>
    <row r="22" customFormat="false" ht="13.5" hidden="false" customHeight="true" outlineLevel="0" collapsed="false">
      <c r="B22" s="80" t="s">
        <v>550</v>
      </c>
      <c r="C22" s="80"/>
      <c r="D22" s="80"/>
      <c r="E22" s="80"/>
    </row>
  </sheetData>
  <mergeCells count="2">
    <mergeCell ref="B2:E2"/>
    <mergeCell ref="B22:E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2.7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24"/>
    <col collapsed="false" customWidth="true" hidden="false" outlineLevel="0" max="5" min="5" style="1" width="36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11" min="8" style="1" width="11"/>
    <col collapsed="false" customWidth="true" hidden="false" outlineLevel="0" max="12" min="12" style="1" width="13"/>
  </cols>
  <sheetData>
    <row r="2" customFormat="false" ht="19.5" hidden="false" customHeight="true" outlineLevel="0" collapsed="false">
      <c r="B2" s="125" t="s">
        <v>551</v>
      </c>
    </row>
    <row r="3" customFormat="false" ht="15" hidden="false" customHeight="true" outlineLevel="0" collapsed="false">
      <c r="B3" s="47" t="s">
        <v>552</v>
      </c>
      <c r="C3" s="47" t="s">
        <v>553</v>
      </c>
      <c r="D3" s="47" t="s">
        <v>554</v>
      </c>
      <c r="E3" s="47" t="s">
        <v>393</v>
      </c>
    </row>
    <row r="4" customFormat="false" ht="15" hidden="false" customHeight="true" outlineLevel="0" collapsed="false">
      <c r="B4" s="126" t="s">
        <v>555</v>
      </c>
    </row>
    <row r="5" customFormat="false" ht="15" hidden="false" customHeight="true" outlineLevel="0" collapsed="false">
      <c r="B5" s="127" t="s">
        <v>556</v>
      </c>
      <c r="C5" s="128" t="e">
        <f aca="false">MIN(sales!G9:G15)</f>
        <v>#DIV/0!</v>
      </c>
      <c r="D5" s="129" t="e">
        <f aca="false">"$"&amp;TEXT(C5,"#,##0.00")&amp;" per SF"</f>
        <v>#DIV/0!</v>
      </c>
      <c r="E5" s="130" t="s">
        <v>557</v>
      </c>
    </row>
    <row r="6" customFormat="false" ht="15" hidden="false" customHeight="true" outlineLevel="0" collapsed="false">
      <c r="B6" s="127" t="s">
        <v>558</v>
      </c>
      <c r="C6" s="128" t="e">
        <f aca="false">MAX(sales!G9:G15)</f>
        <v>#DIV/0!</v>
      </c>
      <c r="D6" s="129" t="e">
        <f aca="false">"$"&amp;TEXT(C6,"#,##0.00")&amp;" per SF"</f>
        <v>#DIV/0!</v>
      </c>
      <c r="E6" s="130" t="s">
        <v>559</v>
      </c>
    </row>
    <row r="7" customFormat="false" ht="15" hidden="false" customHeight="true" outlineLevel="0" collapsed="false">
      <c r="B7" s="127" t="s">
        <v>560</v>
      </c>
      <c r="C7" s="128" t="e">
        <f aca="false">MEDIAN(sales!G9:G15)</f>
        <v>#DIV/0!</v>
      </c>
      <c r="D7" s="129" t="e">
        <f aca="false">"$"&amp;TEXT(C7,"#,##0.00")&amp;" per SF"</f>
        <v>#DIV/0!</v>
      </c>
      <c r="E7" s="130" t="s">
        <v>561</v>
      </c>
    </row>
    <row r="8" customFormat="false" ht="15" hidden="false" customHeight="true" outlineLevel="0" collapsed="false">
      <c r="B8" s="127" t="s">
        <v>562</v>
      </c>
      <c r="C8" s="128" t="e">
        <f aca="false">MIN(sales!J20:J26)</f>
        <v>#DIV/0!</v>
      </c>
      <c r="D8" s="129" t="e">
        <f aca="false">"$"&amp;TEXT(C8,"#,##0.00")&amp;" per SF"</f>
        <v>#DIV/0!</v>
      </c>
      <c r="E8" s="130" t="s">
        <v>563</v>
      </c>
    </row>
    <row r="9" customFormat="false" ht="15" hidden="false" customHeight="true" outlineLevel="0" collapsed="false">
      <c r="B9" s="127" t="s">
        <v>564</v>
      </c>
      <c r="C9" s="128" t="e">
        <f aca="false">MAX(sales!J20:J26)</f>
        <v>#DIV/0!</v>
      </c>
      <c r="D9" s="129" t="e">
        <f aca="false">"$"&amp;TEXT(C9,"#,##0.00")&amp;" per SF"</f>
        <v>#DIV/0!</v>
      </c>
      <c r="E9" s="130" t="s">
        <v>565</v>
      </c>
    </row>
    <row r="10" customFormat="false" ht="15" hidden="false" customHeight="true" outlineLevel="0" collapsed="false">
      <c r="B10" s="127" t="s">
        <v>566</v>
      </c>
      <c r="C10" s="128" t="e">
        <f aca="false">MEDIAN(sales!J20:J26)</f>
        <v>#DIV/0!</v>
      </c>
      <c r="D10" s="129" t="e">
        <f aca="false">"$"&amp;TEXT(C10,"#,##0.00")&amp;" per SF"</f>
        <v>#DIV/0!</v>
      </c>
      <c r="E10" s="130" t="s">
        <v>567</v>
      </c>
    </row>
    <row r="11" customFormat="false" ht="15" hidden="false" customHeight="true" outlineLevel="0" collapsed="false">
      <c r="B11" s="126" t="s">
        <v>568</v>
      </c>
    </row>
    <row r="12" customFormat="false" ht="15" hidden="false" customHeight="true" outlineLevel="0" collapsed="false">
      <c r="B12" s="47" t="s">
        <v>552</v>
      </c>
      <c r="C12" s="47" t="s">
        <v>553</v>
      </c>
      <c r="D12" s="47" t="s">
        <v>554</v>
      </c>
      <c r="E12" s="47" t="s">
        <v>393</v>
      </c>
    </row>
    <row r="13" customFormat="false" ht="15" hidden="false" customHeight="true" outlineLevel="0" collapsed="false">
      <c r="B13" s="127" t="s">
        <v>569</v>
      </c>
      <c r="C13" s="128" t="n">
        <f aca="false">sales!C56</f>
        <v>0</v>
      </c>
      <c r="D13" s="129" t="str">
        <f aca="false">"$"&amp;TEXT(C13,"#,##0.00")&amp;" per SF"</f>
        <v>$0.00 per SF</v>
      </c>
      <c r="E13" s="130" t="s">
        <v>570</v>
      </c>
    </row>
    <row r="14" customFormat="false" ht="15" hidden="false" customHeight="true" outlineLevel="0" collapsed="false">
      <c r="B14" s="127" t="s">
        <v>154</v>
      </c>
      <c r="C14" s="131" t="n">
        <f aca="false">sales!D56</f>
        <v>0</v>
      </c>
      <c r="D14" s="129" t="str">
        <f aca="false">"$"&amp;TEXT(C14,"#,##0")</f>
        <v>$0</v>
      </c>
      <c r="E14" s="130" t="s">
        <v>571</v>
      </c>
    </row>
    <row r="15" customFormat="false" ht="15" hidden="false" customHeight="true" outlineLevel="0" collapsed="false">
      <c r="B15" s="132" t="s">
        <v>572</v>
      </c>
      <c r="C15" s="132" t="e">
        <f aca="false">AVERAGE(sales!J20:J26)</f>
        <v>#DIV/0!</v>
      </c>
      <c r="D15" s="132" t="e">
        <f aca="false">"$"&amp;TEXT(C15,"#,##0.00")&amp;" per SF"</f>
        <v>#DIV/0!</v>
      </c>
      <c r="E15" s="132" t="s">
        <v>573</v>
      </c>
    </row>
    <row r="16" customFormat="false" ht="15" hidden="false" customHeight="true" outlineLevel="0" collapsed="false">
      <c r="B16" s="132" t="s">
        <v>574</v>
      </c>
      <c r="C16" s="132" t="e">
        <f aca="false">AVERAGE(sales!G9:G15)</f>
        <v>#DIV/0!</v>
      </c>
      <c r="D16" s="132" t="e">
        <f aca="false">"$"&amp;TEXT(C16,"#,##0.00")&amp;" per SF"</f>
        <v>#DIV/0!</v>
      </c>
      <c r="E16" s="132" t="s">
        <v>575</v>
      </c>
    </row>
    <row r="17" customFormat="false" ht="15" hidden="false" customHeight="true" outlineLevel="0" collapsed="false">
      <c r="B17" s="132" t="s">
        <v>576</v>
      </c>
      <c r="C17" s="132" t="n">
        <f aca="false">MIN(sales!F9:F15)</f>
        <v>0</v>
      </c>
      <c r="D17" s="132" t="str">
        <f aca="false">TEXT(C17,"#,##0")&amp;" SF"</f>
        <v>0 SF</v>
      </c>
      <c r="E17" s="132" t="s">
        <v>577</v>
      </c>
    </row>
    <row r="18" customFormat="false" ht="15" hidden="false" customHeight="true" outlineLevel="0" collapsed="false">
      <c r="B18" s="132" t="s">
        <v>578</v>
      </c>
      <c r="C18" s="132" t="n">
        <f aca="false">MAX(sales!F9:F15)</f>
        <v>0</v>
      </c>
      <c r="D18" s="132" t="str">
        <f aca="false">TEXT(C18,"#,##0")&amp;" SF"</f>
        <v>0 SF</v>
      </c>
      <c r="E18" s="132" t="s">
        <v>579</v>
      </c>
    </row>
    <row r="19" customFormat="false" ht="15" hidden="false" customHeight="true" outlineLevel="0" collapsed="false">
      <c r="B19" s="132" t="s">
        <v>580</v>
      </c>
      <c r="C19" s="132" t="e">
        <f aca="false">AVERAGE(sales!F9:F15)</f>
        <v>#DIV/0!</v>
      </c>
      <c r="D19" s="132" t="e">
        <f aca="false">TEXT(C19,"#,##0")&amp;" SF"</f>
        <v>#DIV/0!</v>
      </c>
      <c r="E19" s="132" t="s">
        <v>581</v>
      </c>
    </row>
    <row r="20" customFormat="false" ht="15" hidden="false" customHeight="true" outlineLevel="0" collapsed="false">
      <c r="B20" s="132" t="s">
        <v>582</v>
      </c>
      <c r="C20" s="132" t="e">
        <f aca="false">MEDIAN(sales!F9:F15)</f>
        <v>#VALUE!</v>
      </c>
      <c r="D20" s="132" t="e">
        <f aca="false">TEXT(C20,"#,##0")&amp;" SF"</f>
        <v>#VALUE!</v>
      </c>
      <c r="E20" s="132" t="s">
        <v>583</v>
      </c>
    </row>
    <row r="21" customFormat="false" ht="15" hidden="false" customHeight="true" outlineLevel="0" collapsed="false">
      <c r="B21" s="133" t="s">
        <v>584</v>
      </c>
      <c r="C21" s="133"/>
      <c r="D21" s="133" t="str">
        <f aca="false">"$"&amp;TEXT(C21,"#,##0.00")&amp;" per SF"</f>
        <v>$0.00 per SF</v>
      </c>
      <c r="E21" s="133" t="s">
        <v>585</v>
      </c>
    </row>
    <row r="22" customFormat="false" ht="15" hidden="false" customHeight="true" outlineLevel="0" collapsed="false">
      <c r="B22" s="133" t="s">
        <v>586</v>
      </c>
      <c r="C22" s="133"/>
      <c r="D22" s="133" t="str">
        <f aca="false">"$"&amp;TEXT(C22,"#,##0.00")&amp;" per SF"</f>
        <v>$0.00 per SF</v>
      </c>
      <c r="E22" s="133" t="s">
        <v>587</v>
      </c>
    </row>
    <row r="23" customFormat="false" ht="15" hidden="false" customHeight="true" outlineLevel="0" collapsed="false">
      <c r="B23" s="133" t="s">
        <v>588</v>
      </c>
      <c r="C23" s="133"/>
      <c r="D23" s="133" t="str">
        <f aca="false">"$"&amp;TEXT(C23,"#,##0.00")&amp;" per SF"</f>
        <v>$0.00 per SF</v>
      </c>
      <c r="E23" s="133" t="s">
        <v>589</v>
      </c>
    </row>
    <row r="24" customFormat="false" ht="15" hidden="false" customHeight="true" outlineLevel="0" collapsed="false">
      <c r="B24" s="133" t="s">
        <v>590</v>
      </c>
      <c r="C24" s="133"/>
      <c r="D24" s="133" t="str">
        <f aca="false">"$"&amp;TEXT(C24,"#,##0.00")&amp;" per SF"</f>
        <v>$0.00 per SF</v>
      </c>
      <c r="E24" s="133" t="s">
        <v>591</v>
      </c>
    </row>
    <row r="25" customFormat="false" ht="15" hidden="false" customHeight="true" outlineLevel="0" collapsed="false">
      <c r="B25" s="133" t="s">
        <v>592</v>
      </c>
      <c r="C25" s="133"/>
      <c r="D25" s="133" t="str">
        <f aca="false">"$"&amp;TEXT(C25,"#,##0.00")&amp;" per SF"</f>
        <v>$0.00 per SF</v>
      </c>
      <c r="E25" s="133" t="s">
        <v>593</v>
      </c>
    </row>
    <row r="26" customFormat="false" ht="15" hidden="false" customHeight="true" outlineLevel="0" collapsed="false">
      <c r="B26" s="133" t="s">
        <v>594</v>
      </c>
      <c r="C26" s="133"/>
      <c r="D26" s="133" t="str">
        <f aca="false">"$"&amp;TEXT(C26,"#,##0.00")&amp;" per SF"</f>
        <v>$0.00 per SF</v>
      </c>
      <c r="E26" s="133" t="s">
        <v>595</v>
      </c>
    </row>
    <row r="27" customFormat="false" ht="15" hidden="false" customHeight="true" outlineLevel="0" collapsed="false">
      <c r="B27" s="133" t="s">
        <v>596</v>
      </c>
      <c r="C27" s="133"/>
      <c r="D27" s="133" t="str">
        <f aca="false">IF(C27="","",C27)</f>
        <v/>
      </c>
      <c r="E27" s="133" t="s">
        <v>597</v>
      </c>
    </row>
    <row r="28" customFormat="false" ht="15" hidden="false" customHeight="true" outlineLevel="0" collapsed="false"/>
    <row r="29" customFormat="false" ht="15" hidden="false" customHeight="true" outlineLevel="0" collapsed="false">
      <c r="B29" s="125" t="s">
        <v>598</v>
      </c>
    </row>
    <row r="30" customFormat="false" ht="15" hidden="false" customHeight="true" outlineLevel="0" collapsed="false">
      <c r="B30" s="47" t="s">
        <v>552</v>
      </c>
      <c r="C30" s="47" t="s">
        <v>553</v>
      </c>
      <c r="D30" s="47" t="s">
        <v>554</v>
      </c>
      <c r="E30" s="47" t="s">
        <v>393</v>
      </c>
    </row>
    <row r="31" customFormat="false" ht="15" hidden="false" customHeight="true" outlineLevel="0" collapsed="false">
      <c r="B31" s="126" t="s">
        <v>599</v>
      </c>
    </row>
    <row r="32" customFormat="false" ht="15" hidden="false" customHeight="true" outlineLevel="0" collapsed="false">
      <c r="B32" s="132" t="s">
        <v>600</v>
      </c>
      <c r="C32" s="134" t="str">
        <f aca="false">IFERROR(AVERAGE(cap_rates!F4:F7),"")</f>
        <v/>
      </c>
      <c r="D32" s="132" t="str">
        <f aca="false">TEXT(C32,"0.0%")</f>
        <v/>
      </c>
      <c r="E32" s="132" t="s">
        <v>601</v>
      </c>
    </row>
    <row r="33" customFormat="false" ht="15" hidden="false" customHeight="true" outlineLevel="0" collapsed="false">
      <c r="B33" s="126" t="s">
        <v>602</v>
      </c>
    </row>
    <row r="34" customFormat="false" ht="15" hidden="false" customHeight="true" outlineLevel="0" collapsed="false">
      <c r="B34" s="47" t="s">
        <v>552</v>
      </c>
      <c r="C34" s="47" t="s">
        <v>553</v>
      </c>
      <c r="D34" s="47" t="s">
        <v>554</v>
      </c>
      <c r="E34" s="47" t="s">
        <v>393</v>
      </c>
    </row>
    <row r="35" customFormat="false" ht="15" hidden="false" customHeight="true" outlineLevel="0" collapsed="false">
      <c r="B35" s="132" t="s">
        <v>159</v>
      </c>
      <c r="C35" s="135" t="n">
        <f aca="false">income_summary!C19</f>
        <v>0.095</v>
      </c>
      <c r="D35" s="132" t="str">
        <f aca="false">TEXT(C35,"0.0%")</f>
        <v>9.5%</v>
      </c>
      <c r="E35" s="132" t="s">
        <v>603</v>
      </c>
    </row>
    <row r="36" customFormat="false" ht="19.5" hidden="false" customHeight="true" outlineLevel="0" collapsed="false"/>
    <row r="37" customFormat="false" ht="30" hidden="false" customHeight="true" outlineLevel="0" collapsed="false"/>
    <row r="38" customFormat="false" ht="15" hidden="false" customHeight="true" outlineLevel="0" collapsed="false">
      <c r="B38" s="125" t="s">
        <v>604</v>
      </c>
    </row>
    <row r="39" customFormat="false" ht="15" hidden="false" customHeight="true" outlineLevel="0" collapsed="false">
      <c r="B39" s="136" t="s">
        <v>605</v>
      </c>
    </row>
    <row r="40" customFormat="false" ht="15" hidden="false" customHeight="true" outlineLevel="0" collapsed="false">
      <c r="B40" s="47" t="s">
        <v>478</v>
      </c>
      <c r="C40" s="47" t="s">
        <v>353</v>
      </c>
      <c r="D40" s="47" t="s">
        <v>354</v>
      </c>
      <c r="E40" s="47" t="s">
        <v>355</v>
      </c>
      <c r="F40" s="47" t="s">
        <v>342</v>
      </c>
      <c r="G40" s="47" t="s">
        <v>356</v>
      </c>
      <c r="H40" s="47" t="s">
        <v>361</v>
      </c>
      <c r="I40" s="47" t="s">
        <v>364</v>
      </c>
      <c r="J40" s="47" t="s">
        <v>365</v>
      </c>
      <c r="K40" s="47" t="s">
        <v>366</v>
      </c>
      <c r="L40" s="47" t="s">
        <v>367</v>
      </c>
    </row>
    <row r="41" customFormat="false" ht="15" hidden="false" customHeight="true" outlineLevel="0" collapsed="false">
      <c r="B41" s="129" t="n">
        <f aca="false">sales!B9</f>
        <v>1</v>
      </c>
      <c r="C41" s="137" t="n">
        <f aca="false">sales!C9</f>
        <v>0</v>
      </c>
      <c r="D41" s="129" t="n">
        <f aca="false">sales!D9</f>
        <v>0</v>
      </c>
      <c r="E41" s="131" t="n">
        <f aca="false">sales!E9</f>
        <v>0</v>
      </c>
      <c r="F41" s="138" t="n">
        <f aca="false">sales!F9</f>
        <v>0</v>
      </c>
      <c r="G41" s="128" t="e">
        <f aca="false">sales!G9</f>
        <v>#DIV/0!</v>
      </c>
      <c r="H41" s="139" t="n">
        <f aca="false">sales!D20</f>
        <v>0</v>
      </c>
      <c r="I41" s="139" t="n">
        <f aca="false">sales!G20</f>
        <v>0</v>
      </c>
      <c r="J41" s="139" t="n">
        <f aca="false">sales!H20</f>
        <v>0</v>
      </c>
      <c r="K41" s="139" t="n">
        <f aca="false">sales!I20</f>
        <v>0</v>
      </c>
      <c r="L41" s="128" t="e">
        <f aca="false">sales!J20</f>
        <v>#DIV/0!</v>
      </c>
    </row>
    <row r="42" customFormat="false" ht="15" hidden="false" customHeight="true" outlineLevel="0" collapsed="false">
      <c r="B42" s="129" t="n">
        <f aca="false">sales!B10</f>
        <v>2</v>
      </c>
      <c r="C42" s="137" t="n">
        <f aca="false">sales!C10</f>
        <v>0</v>
      </c>
      <c r="D42" s="129" t="n">
        <f aca="false">sales!D10</f>
        <v>0</v>
      </c>
      <c r="E42" s="131" t="n">
        <f aca="false">sales!E10</f>
        <v>0</v>
      </c>
      <c r="F42" s="138" t="n">
        <f aca="false">sales!F10</f>
        <v>0</v>
      </c>
      <c r="G42" s="128" t="e">
        <f aca="false">sales!G10</f>
        <v>#DIV/0!</v>
      </c>
      <c r="H42" s="139" t="n">
        <f aca="false">sales!D21</f>
        <v>0</v>
      </c>
      <c r="I42" s="139" t="n">
        <f aca="false">sales!G21</f>
        <v>0</v>
      </c>
      <c r="J42" s="139" t="n">
        <f aca="false">sales!H21</f>
        <v>0</v>
      </c>
      <c r="K42" s="139" t="n">
        <f aca="false">sales!I21</f>
        <v>0</v>
      </c>
      <c r="L42" s="128" t="e">
        <f aca="false">sales!J21</f>
        <v>#DIV/0!</v>
      </c>
    </row>
    <row r="43" customFormat="false" ht="15" hidden="false" customHeight="true" outlineLevel="0" collapsed="false">
      <c r="B43" s="129" t="n">
        <f aca="false">sales!B11</f>
        <v>3</v>
      </c>
      <c r="C43" s="137" t="n">
        <f aca="false">sales!C11</f>
        <v>0</v>
      </c>
      <c r="D43" s="129" t="n">
        <f aca="false">sales!D11</f>
        <v>0</v>
      </c>
      <c r="E43" s="131" t="n">
        <f aca="false">sales!E11</f>
        <v>0</v>
      </c>
      <c r="F43" s="138" t="n">
        <f aca="false">sales!F11</f>
        <v>0</v>
      </c>
      <c r="G43" s="128" t="e">
        <f aca="false">sales!G11</f>
        <v>#DIV/0!</v>
      </c>
      <c r="H43" s="139" t="n">
        <f aca="false">sales!D22</f>
        <v>0</v>
      </c>
      <c r="I43" s="139" t="n">
        <f aca="false">sales!G22</f>
        <v>0</v>
      </c>
      <c r="J43" s="139" t="n">
        <f aca="false">sales!H22</f>
        <v>0</v>
      </c>
      <c r="K43" s="139" t="n">
        <f aca="false">sales!I22</f>
        <v>0</v>
      </c>
      <c r="L43" s="128" t="e">
        <f aca="false">sales!J22</f>
        <v>#DIV/0!</v>
      </c>
    </row>
    <row r="44" customFormat="false" ht="15" hidden="false" customHeight="true" outlineLevel="0" collapsed="false">
      <c r="B44" s="129" t="n">
        <f aca="false">sales!B12</f>
        <v>4</v>
      </c>
      <c r="C44" s="137" t="n">
        <f aca="false">sales!C12</f>
        <v>0</v>
      </c>
      <c r="D44" s="129" t="n">
        <f aca="false">sales!D12</f>
        <v>0</v>
      </c>
      <c r="E44" s="131" t="n">
        <f aca="false">sales!E12</f>
        <v>0</v>
      </c>
      <c r="F44" s="138" t="n">
        <f aca="false">sales!F12</f>
        <v>0</v>
      </c>
      <c r="G44" s="128" t="e">
        <f aca="false">sales!G12</f>
        <v>#DIV/0!</v>
      </c>
      <c r="H44" s="139" t="n">
        <f aca="false">sales!D23</f>
        <v>0</v>
      </c>
      <c r="I44" s="139" t="n">
        <f aca="false">sales!G23</f>
        <v>0</v>
      </c>
      <c r="J44" s="139" t="n">
        <f aca="false">sales!H23</f>
        <v>0</v>
      </c>
      <c r="K44" s="139" t="n">
        <f aca="false">sales!I23</f>
        <v>0</v>
      </c>
      <c r="L44" s="128" t="e">
        <f aca="false">sales!J23</f>
        <v>#DIV/0!</v>
      </c>
    </row>
    <row r="45" customFormat="false" ht="12.75" hidden="false" customHeight="true" outlineLevel="0" collapsed="false">
      <c r="B45" s="129" t="n">
        <f aca="false">sales!B13</f>
        <v>5</v>
      </c>
      <c r="C45" s="137" t="n">
        <f aca="false">sales!C13</f>
        <v>0</v>
      </c>
      <c r="D45" s="129" t="n">
        <f aca="false">sales!D13</f>
        <v>0</v>
      </c>
      <c r="E45" s="131" t="n">
        <f aca="false">sales!E13</f>
        <v>0</v>
      </c>
      <c r="F45" s="138" t="n">
        <f aca="false">sales!F13</f>
        <v>0</v>
      </c>
      <c r="G45" s="128" t="e">
        <f aca="false">sales!G13</f>
        <v>#DIV/0!</v>
      </c>
      <c r="H45" s="139" t="n">
        <f aca="false">sales!D24</f>
        <v>0</v>
      </c>
      <c r="I45" s="139" t="n">
        <f aca="false">sales!G24</f>
        <v>0</v>
      </c>
      <c r="J45" s="139" t="n">
        <f aca="false">sales!H24</f>
        <v>0</v>
      </c>
      <c r="K45" s="139" t="n">
        <f aca="false">sales!I24</f>
        <v>0</v>
      </c>
      <c r="L45" s="128" t="e">
        <f aca="false">sales!J24</f>
        <v>#DIV/0!</v>
      </c>
    </row>
    <row r="46" customFormat="false" ht="19.5" hidden="false" customHeight="true" outlineLevel="0" collapsed="false">
      <c r="B46" s="129" t="n">
        <f aca="false">sales!B14</f>
        <v>6</v>
      </c>
      <c r="C46" s="137" t="n">
        <f aca="false">sales!C14</f>
        <v>0</v>
      </c>
      <c r="D46" s="129" t="n">
        <f aca="false">sales!D14</f>
        <v>0</v>
      </c>
      <c r="E46" s="131" t="n">
        <f aca="false">sales!E14</f>
        <v>0</v>
      </c>
      <c r="F46" s="138" t="n">
        <f aca="false">sales!F14</f>
        <v>0</v>
      </c>
      <c r="G46" s="128" t="e">
        <f aca="false">sales!G14</f>
        <v>#DIV/0!</v>
      </c>
      <c r="H46" s="139" t="n">
        <f aca="false">sales!D25</f>
        <v>0</v>
      </c>
      <c r="I46" s="139" t="n">
        <f aca="false">sales!G25</f>
        <v>0</v>
      </c>
      <c r="J46" s="139" t="n">
        <f aca="false">sales!H25</f>
        <v>0</v>
      </c>
      <c r="K46" s="139" t="n">
        <f aca="false">sales!I25</f>
        <v>0</v>
      </c>
      <c r="L46" s="128" t="e">
        <f aca="false">sales!J25</f>
        <v>#DIV/0!</v>
      </c>
    </row>
    <row r="47" customFormat="false" ht="15" hidden="false" customHeight="true" outlineLevel="0" collapsed="false">
      <c r="B47" s="129" t="n">
        <f aca="false">sales!B15</f>
        <v>7</v>
      </c>
      <c r="C47" s="137" t="n">
        <f aca="false">sales!C15</f>
        <v>0</v>
      </c>
      <c r="D47" s="129" t="n">
        <f aca="false">sales!D15</f>
        <v>0</v>
      </c>
      <c r="E47" s="131" t="n">
        <f aca="false">sales!E15</f>
        <v>0</v>
      </c>
      <c r="F47" s="138" t="n">
        <f aca="false">sales!F15</f>
        <v>0</v>
      </c>
      <c r="G47" s="128" t="e">
        <f aca="false">sales!G15</f>
        <v>#DIV/0!</v>
      </c>
      <c r="H47" s="139" t="n">
        <f aca="false">sales!D26</f>
        <v>0</v>
      </c>
      <c r="I47" s="139" t="n">
        <f aca="false">sales!G26</f>
        <v>0</v>
      </c>
      <c r="J47" s="139" t="n">
        <f aca="false">sales!H26</f>
        <v>0</v>
      </c>
      <c r="K47" s="139" t="n">
        <f aca="false">sales!I26</f>
        <v>0</v>
      </c>
      <c r="L47" s="128" t="e">
        <f aca="false">sales!J26</f>
        <v>#DIV/0!</v>
      </c>
    </row>
    <row r="48" customFormat="false" ht="15" hidden="false" customHeight="true" outlineLevel="0" collapsed="false"/>
    <row r="49" customFormat="false" ht="12.75" hidden="false" customHeight="true" outlineLevel="0" collapsed="false">
      <c r="B49" s="140" t="s">
        <v>606</v>
      </c>
      <c r="C49" s="141"/>
      <c r="D49" s="141"/>
      <c r="E49" s="141"/>
      <c r="F49" s="141"/>
    </row>
    <row r="50" customFormat="false" ht="19.5" hidden="false" customHeight="true" outlineLevel="0" collapsed="false">
      <c r="B50" s="142" t="s">
        <v>552</v>
      </c>
      <c r="C50" s="142" t="s">
        <v>553</v>
      </c>
      <c r="D50" s="142" t="s">
        <v>554</v>
      </c>
      <c r="E50" s="142" t="s">
        <v>393</v>
      </c>
    </row>
    <row r="51" customFormat="false" ht="15" hidden="false" customHeight="true" outlineLevel="0" collapsed="false">
      <c r="B51" s="132" t="s">
        <v>172</v>
      </c>
      <c r="C51" s="143" t="n">
        <f aca="false">income_summary!D5</f>
        <v>0</v>
      </c>
      <c r="D51" s="132" t="str">
        <f aca="false">"$"&amp;TEXT(C51,"#,##0")</f>
        <v>$0</v>
      </c>
      <c r="E51" s="132" t="s">
        <v>607</v>
      </c>
    </row>
    <row r="52" customFormat="false" ht="15" hidden="false" customHeight="true" outlineLevel="0" collapsed="false">
      <c r="B52" s="132" t="s">
        <v>608</v>
      </c>
      <c r="C52" s="132" t="n">
        <f aca="false">income_summary!D5/12</f>
        <v>0</v>
      </c>
      <c r="D52" s="132" t="str">
        <f aca="false">"$"&amp;TEXT(C52,"#,##0")</f>
        <v>$0</v>
      </c>
      <c r="E52" s="132" t="s">
        <v>609</v>
      </c>
    </row>
    <row r="53" customFormat="false" ht="15" hidden="false" customHeight="true" outlineLevel="0" collapsed="false">
      <c r="B53" s="132" t="s">
        <v>174</v>
      </c>
      <c r="C53" s="143" t="n">
        <f aca="false">income_summary!D8</f>
        <v>50237.6</v>
      </c>
      <c r="D53" s="132" t="str">
        <f aca="false">"$"&amp;TEXT(C53,"#,##0")</f>
        <v>$50,238</v>
      </c>
      <c r="E53" s="132" t="s">
        <v>610</v>
      </c>
    </row>
    <row r="54" customFormat="false" ht="15" hidden="false" customHeight="true" outlineLevel="0" collapsed="false">
      <c r="B54" s="132" t="s">
        <v>611</v>
      </c>
      <c r="C54" s="134" t="n">
        <f aca="false">income_summary!C7</f>
        <v>0.2</v>
      </c>
      <c r="D54" s="132" t="str">
        <f aca="false">TEXT(C54,"0.0%")</f>
        <v>20.0%</v>
      </c>
      <c r="E54" s="132" t="s">
        <v>612</v>
      </c>
    </row>
    <row r="55" customFormat="false" ht="15" hidden="false" customHeight="true" outlineLevel="0" collapsed="false">
      <c r="B55" s="132" t="s">
        <v>176</v>
      </c>
      <c r="C55" s="143" t="n">
        <f aca="false">income_summary!D18</f>
        <v>-151603.656</v>
      </c>
      <c r="D55" s="132" t="str">
        <f aca="false">"$"&amp;TEXT(C55,"#,##0")</f>
        <v>$-151,604</v>
      </c>
      <c r="E55" s="132" t="s">
        <v>613</v>
      </c>
    </row>
    <row r="56" customFormat="false" ht="15" hidden="false" customHeight="true" outlineLevel="0" collapsed="false">
      <c r="B56" s="132" t="s">
        <v>614</v>
      </c>
      <c r="C56" s="135" t="n">
        <f aca="false">income_summary!C19</f>
        <v>0.095</v>
      </c>
      <c r="D56" s="132" t="str">
        <f aca="false">TEXT(C56,"0.0%")</f>
        <v>9.5%</v>
      </c>
      <c r="E56" s="132" t="s">
        <v>615</v>
      </c>
    </row>
    <row r="57" customFormat="false" ht="12.75" hidden="false" customHeight="true" outlineLevel="0" collapsed="false">
      <c r="B57" s="1" t="s">
        <v>616</v>
      </c>
    </row>
    <row r="58" customFormat="false" ht="15" hidden="false" customHeight="true" outlineLevel="0" collapsed="false">
      <c r="B58" s="132" t="s">
        <v>155</v>
      </c>
      <c r="C58" s="143" t="n">
        <f aca="false">income_summary!C21</f>
        <v>-1600000</v>
      </c>
      <c r="D58" s="132" t="str">
        <f aca="false">"$"&amp;TEXT(C58,"#,##0")</f>
        <v>$-1,600,000</v>
      </c>
      <c r="E58" s="132" t="s">
        <v>617</v>
      </c>
    </row>
    <row r="59" customFormat="false" ht="15" hidden="false" customHeight="true" outlineLevel="0" collapsed="false">
      <c r="B59" s="132" t="s">
        <v>618</v>
      </c>
      <c r="C59" s="143" t="n">
        <f aca="false">income_summary!D17</f>
        <v>201841.256</v>
      </c>
      <c r="D59" s="132" t="str">
        <f aca="false">"$"&amp;TEXT(C59,"#,##0")</f>
        <v>$201,841</v>
      </c>
      <c r="E59" s="132" t="s">
        <v>619</v>
      </c>
    </row>
    <row r="61" customFormat="false" ht="12.75" hidden="false" customHeight="true" outlineLevel="0" collapsed="false">
      <c r="B61" s="140" t="s">
        <v>620</v>
      </c>
      <c r="C61" s="141"/>
      <c r="D61" s="141"/>
      <c r="E61" s="141"/>
      <c r="F61" s="141"/>
    </row>
    <row r="62" customFormat="false" ht="12.75" hidden="false" customHeight="true" outlineLevel="0" collapsed="false">
      <c r="B62" s="144" t="s">
        <v>621</v>
      </c>
      <c r="C62" s="145" t="n">
        <f aca="false">pgi_calc!D5</f>
        <v>12</v>
      </c>
      <c r="D62" s="146" t="str">
        <f aca="false">"$"&amp;TEXT(pgi_calc!D5,"#,##0.00")&amp;"/SF"</f>
        <v>$12.00/SF</v>
      </c>
      <c r="E62" s="136" t="s">
        <v>622</v>
      </c>
    </row>
    <row r="63" customFormat="false" ht="12.75" hidden="false" customHeight="true" outlineLevel="0" collapsed="false">
      <c r="B63" s="144" t="s">
        <v>166</v>
      </c>
      <c r="C63" s="145" t="n">
        <f aca="false">pgi_calc!D5</f>
        <v>12</v>
      </c>
      <c r="D63" s="146" t="str">
        <f aca="false">TEXT(pgi_calc!D5,"$#,##0.00")</f>
        <v>$12.00</v>
      </c>
      <c r="E63" s="136" t="s">
        <v>623</v>
      </c>
    </row>
    <row r="65" customFormat="false" ht="12.75" hidden="false" customHeight="true" outlineLevel="0" collapsed="false">
      <c r="B65" s="140" t="s">
        <v>624</v>
      </c>
      <c r="C65" s="141"/>
      <c r="D65" s="141"/>
      <c r="E65" s="141"/>
      <c r="F65" s="141"/>
    </row>
    <row r="66" customFormat="false" ht="15" hidden="false" customHeight="true" outlineLevel="0" collapsed="false">
      <c r="B66" s="132" t="s">
        <v>625</v>
      </c>
      <c r="C66" s="143" t="e">
        <f aca="false">land!d26</f>
        <v>#NAME?</v>
      </c>
      <c r="D66" s="132" t="e">
        <f aca="false">"$"&amp;TEXT(C66,"#,##0")</f>
        <v>#NAME?</v>
      </c>
      <c r="E66" s="132" t="s">
        <v>626</v>
      </c>
    </row>
    <row r="67" customFormat="false" ht="15" hidden="false" customHeight="true" outlineLevel="0" collapsed="false">
      <c r="B67" s="132" t="s">
        <v>627</v>
      </c>
      <c r="C67" s="143" t="e">
        <f aca="false">cost!C68</f>
        <v>#DIV/0!</v>
      </c>
      <c r="D67" s="132" t="e">
        <f aca="false">"$"&amp;TEXT(C67,"#,##0")</f>
        <v>#DIV/0!</v>
      </c>
      <c r="E67" s="132" t="s">
        <v>628</v>
      </c>
    </row>
    <row r="68" customFormat="false" ht="15" hidden="false" customHeight="true" outlineLevel="0" collapsed="false">
      <c r="B68" s="132" t="s">
        <v>629</v>
      </c>
      <c r="C68" s="132" t="e">
        <f aca="false">cost!C68</f>
        <v>#DIV/0!</v>
      </c>
      <c r="D68" s="132" t="e">
        <f aca="false">"$"&amp;TEXT(C68,"#,##0")</f>
        <v>#DIV/0!</v>
      </c>
      <c r="E68" s="132" t="e">
        <f aca="false">ca_value alias</f>
        <v>#VALUE!</v>
      </c>
    </row>
    <row r="69" customFormat="false" ht="15" hidden="false" customHeight="true" outlineLevel="0" collapsed="false">
      <c r="B69" s="132" t="s">
        <v>630</v>
      </c>
      <c r="C69" s="132" t="e">
        <f aca="false">cost!C56</f>
        <v>#DIV/0!</v>
      </c>
      <c r="D69" s="132" t="e">
        <f aca="false">"$"&amp;TEXT(C69,"#,##0")</f>
        <v>#DIV/0!</v>
      </c>
      <c r="E69" s="132" t="s">
        <v>631</v>
      </c>
    </row>
    <row r="70" customFormat="false" ht="15" hidden="false" customHeight="true" outlineLevel="0" collapsed="false">
      <c r="B70" s="132" t="s">
        <v>632</v>
      </c>
      <c r="C70" s="132" t="e">
        <f aca="false">cost!C61</f>
        <v>#DIV/0!</v>
      </c>
      <c r="D70" s="132" t="e">
        <f aca="false">"$"&amp;TEXT(C70,"#,##0")</f>
        <v>#DIV/0!</v>
      </c>
      <c r="E70" s="132" t="s">
        <v>633</v>
      </c>
    </row>
    <row r="71" customFormat="false" ht="15" hidden="false" customHeight="true" outlineLevel="0" collapsed="false">
      <c r="B71" s="132" t="s">
        <v>634</v>
      </c>
      <c r="C71" s="132" t="n">
        <f aca="false">cost!C28</f>
        <v>0</v>
      </c>
      <c r="D71" s="132" t="str">
        <f aca="false">"$"&amp;TEXT(C71,"#,##0")</f>
        <v>$0</v>
      </c>
      <c r="E71" s="132" t="s">
        <v>635</v>
      </c>
    </row>
    <row r="72" customFormat="false" ht="15" hidden="false" customHeight="true" outlineLevel="0" collapsed="false">
      <c r="B72" s="132" t="s">
        <v>636</v>
      </c>
      <c r="C72" s="132" t="e">
        <f aca="false">cost!G20</f>
        <v>#DIV/0!</v>
      </c>
      <c r="D72" s="132" t="e">
        <f aca="false">"$"&amp;TEXT(C72,"#,##0")</f>
        <v>#DIV/0!</v>
      </c>
      <c r="E72" s="132" t="s">
        <v>637</v>
      </c>
    </row>
    <row r="73" customFormat="false" ht="15" hidden="false" customHeight="true" outlineLevel="0" collapsed="false">
      <c r="B73" s="132" t="s">
        <v>638</v>
      </c>
      <c r="C73" s="132" t="e">
        <f aca="false">cost!G28</f>
        <v>#DIV/0!</v>
      </c>
      <c r="D73" s="132" t="e">
        <f aca="false">"$"&amp;TEXT(C73,"#,##0")</f>
        <v>#DIV/0!</v>
      </c>
      <c r="E73" s="132" t="s">
        <v>639</v>
      </c>
    </row>
    <row r="74" customFormat="false" ht="12.75" hidden="false" customHeight="true" outlineLevel="0" collapsed="false">
      <c r="B74" s="1" t="s">
        <v>640</v>
      </c>
    </row>
    <row r="75" customFormat="false" ht="12.75" hidden="false" customHeight="true" outlineLevel="0" collapsed="false">
      <c r="B75" s="1" t="s">
        <v>641</v>
      </c>
    </row>
    <row r="76" customFormat="false" ht="15" hidden="false" customHeight="true" outlineLevel="0" collapsed="false">
      <c r="B76" s="132" t="s">
        <v>642</v>
      </c>
      <c r="C76" s="147" t="e">
        <f aca="false">cost!C11</f>
        <v>#VALUE!</v>
      </c>
      <c r="D76" s="132" t="e">
        <f aca="false">"$"&amp;TEXT(C76,"#,##0.00")&amp;" per SF"</f>
        <v>#VALUE!</v>
      </c>
      <c r="E76" s="132" t="s">
        <v>643</v>
      </c>
    </row>
    <row r="77" customFormat="false" ht="15" hidden="false" customHeight="true" outlineLevel="0" collapsed="false">
      <c r="B77" s="133" t="s">
        <v>644</v>
      </c>
      <c r="C77" s="133"/>
      <c r="D77" s="133" t="str">
        <f aca="false">IF(C77="","",C77)</f>
        <v/>
      </c>
      <c r="E77" s="133" t="s">
        <v>645</v>
      </c>
    </row>
    <row r="78" customFormat="false" ht="15" hidden="false" customHeight="true" outlineLevel="0" collapsed="false">
      <c r="B78" s="133" t="s">
        <v>646</v>
      </c>
      <c r="C78" s="133"/>
      <c r="D78" s="133" t="str">
        <f aca="false">IF(C78="","",C78)</f>
        <v/>
      </c>
      <c r="E78" s="133" t="s">
        <v>647</v>
      </c>
    </row>
    <row r="79" customFormat="false" ht="15" hidden="false" customHeight="true" outlineLevel="0" collapsed="false">
      <c r="B79" s="133" t="s">
        <v>648</v>
      </c>
      <c r="C79" s="133"/>
      <c r="D79" s="133" t="str">
        <f aca="false">"$"&amp;TEXT(C79,"#,##0.00")&amp;" per SF"</f>
        <v>$0.00 per SF</v>
      </c>
      <c r="E79" s="133" t="s">
        <v>649</v>
      </c>
    </row>
    <row r="80" customFormat="false" ht="15" hidden="false" customHeight="true" outlineLevel="0" collapsed="false">
      <c r="B80" s="133" t="s">
        <v>650</v>
      </c>
      <c r="C80" s="133"/>
      <c r="D80" s="133" t="str">
        <f aca="false">TEXT(C80,"0.00")&amp;"x"</f>
        <v>0.00x</v>
      </c>
      <c r="E80" s="133" t="s">
        <v>651</v>
      </c>
    </row>
    <row r="81" customFormat="false" ht="15" hidden="false" customHeight="true" outlineLevel="0" collapsed="false">
      <c r="B81" s="133" t="s">
        <v>652</v>
      </c>
      <c r="C81" s="133"/>
      <c r="D81" s="133" t="str">
        <f aca="false">TEXT(C81,"0.00")&amp;"x"</f>
        <v>0.00x</v>
      </c>
      <c r="E81" s="133" t="s">
        <v>653</v>
      </c>
    </row>
    <row r="82" customFormat="false" ht="15" hidden="false" customHeight="true" outlineLevel="0" collapsed="false">
      <c r="B82" s="133" t="s">
        <v>654</v>
      </c>
      <c r="C82" s="133"/>
      <c r="D82" s="133" t="str">
        <f aca="false">TEXT(C82,"0.00")&amp;"x"</f>
        <v>0.00x</v>
      </c>
      <c r="E82" s="133" t="s">
        <v>655</v>
      </c>
    </row>
    <row r="83" customFormat="false" ht="15" hidden="false" customHeight="true" outlineLevel="0" collapsed="false">
      <c r="B83" s="132" t="s">
        <v>656</v>
      </c>
      <c r="C83" s="143" t="e">
        <f aca="false">cost!C12</f>
        <v>#VALUE!</v>
      </c>
      <c r="D83" s="132" t="e">
        <f aca="false">"$"&amp;TEXT(C83,"#,##0")</f>
        <v>#VALUE!</v>
      </c>
      <c r="E83" s="132" t="s">
        <v>657</v>
      </c>
    </row>
    <row r="85" customFormat="false" ht="19.5" hidden="false" customHeight="true" outlineLevel="0" collapsed="false">
      <c r="B85" s="148" t="s">
        <v>658</v>
      </c>
      <c r="C85" s="148"/>
      <c r="D85" s="148"/>
      <c r="E85" s="148"/>
      <c r="F85" s="148"/>
    </row>
    <row r="86" customFormat="false" ht="30" hidden="false" customHeight="true" outlineLevel="0" collapsed="false">
      <c r="B86" s="149" t="s">
        <v>552</v>
      </c>
      <c r="C86" s="149" t="s">
        <v>553</v>
      </c>
      <c r="D86" s="149" t="s">
        <v>554</v>
      </c>
      <c r="E86" s="149" t="s">
        <v>393</v>
      </c>
    </row>
    <row r="87" customFormat="false" ht="15" hidden="false" customHeight="true" outlineLevel="0" collapsed="false">
      <c r="B87" s="132" t="s">
        <v>625</v>
      </c>
      <c r="C87" s="132" t="e">
        <f aca="false">land!d26</f>
        <v>#NAME?</v>
      </c>
      <c r="D87" s="132" t="e">
        <f aca="false">"$"&amp;TEXT(C87,"#,##0")</f>
        <v>#NAME?</v>
      </c>
      <c r="E87" s="132" t="s">
        <v>659</v>
      </c>
    </row>
    <row r="88" customFormat="false" ht="15" hidden="false" customHeight="true" outlineLevel="0" collapsed="false">
      <c r="B88" s="132" t="s">
        <v>660</v>
      </c>
      <c r="C88" s="132" t="e">
        <f aca="false">MIN(land!g5:g9)</f>
        <v>#NAME?</v>
      </c>
      <c r="D88" s="132" t="e">
        <f aca="false">"$"&amp;TEXT(C88,"#,##0.00")&amp;" per SF"</f>
        <v>#NAME?</v>
      </c>
      <c r="E88" s="132" t="s">
        <v>661</v>
      </c>
    </row>
    <row r="89" customFormat="false" ht="15" hidden="false" customHeight="true" outlineLevel="0" collapsed="false">
      <c r="B89" s="132" t="s">
        <v>662</v>
      </c>
      <c r="C89" s="132" t="e">
        <f aca="false">MAX(land!g5:g9)</f>
        <v>#NAME?</v>
      </c>
      <c r="D89" s="132" t="e">
        <f aca="false">"$"&amp;TEXT(C89,"#,##0.00")&amp;" per SF"</f>
        <v>#NAME?</v>
      </c>
      <c r="E89" s="132" t="s">
        <v>663</v>
      </c>
    </row>
    <row r="90" customFormat="false" ht="15" hidden="false" customHeight="true" outlineLevel="0" collapsed="false">
      <c r="B90" s="132" t="s">
        <v>664</v>
      </c>
      <c r="C90" s="132" t="e">
        <f aca="false">AVERAGE(land!g5:g9)</f>
        <v>#NAME?</v>
      </c>
      <c r="D90" s="132" t="e">
        <f aca="false">"$"&amp;TEXT(C90,"#,##0.00")&amp;" per SF"</f>
        <v>#NAME?</v>
      </c>
      <c r="E90" s="132" t="s">
        <v>665</v>
      </c>
    </row>
    <row r="91" customFormat="false" ht="15" hidden="false" customHeight="true" outlineLevel="0" collapsed="false">
      <c r="B91" s="132" t="s">
        <v>666</v>
      </c>
      <c r="C91" s="132" t="e">
        <f aca="false">MIN(land!j15:j19)</f>
        <v>#NAME?</v>
      </c>
      <c r="D91" s="132" t="e">
        <f aca="false">"$"&amp;TEXT(C91,"#,##0.00")&amp;" per SF"</f>
        <v>#NAME?</v>
      </c>
      <c r="E91" s="132" t="s">
        <v>667</v>
      </c>
    </row>
    <row r="92" customFormat="false" ht="15" hidden="false" customHeight="true" outlineLevel="0" collapsed="false">
      <c r="B92" s="132" t="s">
        <v>668</v>
      </c>
      <c r="C92" s="132" t="e">
        <f aca="false">MAX(land!j15:j19)</f>
        <v>#NAME?</v>
      </c>
      <c r="D92" s="132" t="e">
        <f aca="false">"$"&amp;TEXT(C92,"#,##0.00")&amp;" per SF"</f>
        <v>#NAME?</v>
      </c>
      <c r="E92" s="132" t="s">
        <v>669</v>
      </c>
    </row>
    <row r="93" customFormat="false" ht="15" hidden="false" customHeight="true" outlineLevel="0" collapsed="false">
      <c r="B93" s="132" t="s">
        <v>670</v>
      </c>
      <c r="C93" s="132" t="e">
        <f aca="false">AVERAGE(land!j15:j19)</f>
        <v>#NAME?</v>
      </c>
      <c r="D93" s="132" t="e">
        <f aca="false">"$"&amp;TEXT(C93,"#,##0.00")&amp;" per SF"</f>
        <v>#NAME?</v>
      </c>
      <c r="E93" s="132" t="s">
        <v>671</v>
      </c>
    </row>
    <row r="94" customFormat="false" ht="15" hidden="false" customHeight="true" outlineLevel="0" collapsed="false">
      <c r="B94" s="132" t="s">
        <v>672</v>
      </c>
      <c r="C94" s="132" t="e">
        <f aca="false">MEDIAN(land!j15:j19)</f>
        <v>#NAME?</v>
      </c>
      <c r="D94" s="132" t="e">
        <f aca="false">"$"&amp;TEXT(C94,"#,##0.00")&amp;" per SF"</f>
        <v>#NAME?</v>
      </c>
      <c r="E94" s="132" t="s">
        <v>673</v>
      </c>
    </row>
    <row r="95" customFormat="false" ht="15" hidden="false" customHeight="true" outlineLevel="0" collapsed="false">
      <c r="B95" s="132" t="s">
        <v>674</v>
      </c>
      <c r="C95" s="132" t="e">
        <f aca="false">MIN(land!f5:f9)</f>
        <v>#NAME?</v>
      </c>
      <c r="D95" s="132" t="e">
        <f aca="false">TEXT(C95,"#,##0")&amp;" SF"</f>
        <v>#NAME?</v>
      </c>
      <c r="E95" s="132" t="s">
        <v>675</v>
      </c>
    </row>
    <row r="96" customFormat="false" ht="15" hidden="false" customHeight="true" outlineLevel="0" collapsed="false">
      <c r="B96" s="132" t="s">
        <v>676</v>
      </c>
      <c r="C96" s="132" t="e">
        <f aca="false">MAX(land!f5:f9)</f>
        <v>#NAME?</v>
      </c>
      <c r="D96" s="132" t="e">
        <f aca="false">TEXT(C96,"#,##0")&amp;" SF"</f>
        <v>#NAME?</v>
      </c>
      <c r="E96" s="132" t="s">
        <v>677</v>
      </c>
    </row>
    <row r="97" customFormat="false" ht="15" hidden="false" customHeight="true" outlineLevel="0" collapsed="false">
      <c r="B97" s="132" t="s">
        <v>678</v>
      </c>
      <c r="C97" s="132" t="e">
        <f aca="false">AVERAGE(land!f5:f9)</f>
        <v>#NAME?</v>
      </c>
      <c r="D97" s="132" t="e">
        <f aca="false">TEXT(C97,"#,##0")&amp;" SF"</f>
        <v>#NAME?</v>
      </c>
      <c r="E97" s="132" t="s">
        <v>679</v>
      </c>
    </row>
    <row r="98" customFormat="false" ht="15" hidden="false" customHeight="true" outlineLevel="0" collapsed="false">
      <c r="B98" s="132" t="s">
        <v>680</v>
      </c>
      <c r="C98" s="132" t="e">
        <f aca="false">MEDIAN(land!f5:f9)</f>
        <v>#NAME?</v>
      </c>
      <c r="D98" s="132" t="e">
        <f aca="false">TEXT(C98,"#,##0")&amp;" SF"</f>
        <v>#NAME?</v>
      </c>
      <c r="E98" s="132" t="s">
        <v>681</v>
      </c>
    </row>
    <row r="100" customFormat="false" ht="19.5" hidden="false" customHeight="true" outlineLevel="0" collapsed="false">
      <c r="B100" s="148" t="s">
        <v>682</v>
      </c>
      <c r="C100" s="148"/>
      <c r="D100" s="148"/>
      <c r="E100" s="148"/>
      <c r="F100" s="148"/>
    </row>
    <row r="101" customFormat="false" ht="30" hidden="false" customHeight="true" outlineLevel="0" collapsed="false">
      <c r="B101" s="149" t="s">
        <v>552</v>
      </c>
      <c r="C101" s="149" t="s">
        <v>553</v>
      </c>
      <c r="D101" s="149" t="s">
        <v>554</v>
      </c>
      <c r="E101" s="149" t="s">
        <v>393</v>
      </c>
    </row>
    <row r="102" customFormat="false" ht="15" hidden="false" customHeight="true" outlineLevel="0" collapsed="false">
      <c r="B102" s="133" t="s">
        <v>683</v>
      </c>
      <c r="C102" s="133"/>
      <c r="D102" s="133" t="str">
        <f aca="false">IF(C102="","",C102)</f>
        <v/>
      </c>
      <c r="E102" s="133" t="s">
        <v>684</v>
      </c>
    </row>
    <row r="103" customFormat="false" ht="15" hidden="false" customHeight="true" outlineLevel="0" collapsed="false">
      <c r="B103" s="133" t="s">
        <v>685</v>
      </c>
      <c r="C103" s="133"/>
      <c r="D103" s="133" t="str">
        <f aca="false">IF(C103="","",C103)</f>
        <v/>
      </c>
      <c r="E103" s="133" t="s">
        <v>686</v>
      </c>
    </row>
    <row r="104" customFormat="false" ht="15" hidden="false" customHeight="true" outlineLevel="0" collapsed="false">
      <c r="B104" s="133" t="s">
        <v>687</v>
      </c>
      <c r="C104" s="133"/>
      <c r="D104" s="133" t="str">
        <f aca="false">"$"&amp;TEXT(C104,"#,##0.00")&amp;" per SF"</f>
        <v>$0.00 per SF</v>
      </c>
      <c r="E104" s="133" t="s">
        <v>688</v>
      </c>
    </row>
    <row r="105" customFormat="false" ht="15" hidden="false" customHeight="true" outlineLevel="0" collapsed="false">
      <c r="B105" s="133" t="s">
        <v>689</v>
      </c>
      <c r="C105" s="133"/>
      <c r="D105" s="133" t="str">
        <f aca="false">"$"&amp;TEXT(C105,"#,##0.00")&amp;" per SF"</f>
        <v>$0.00 per SF</v>
      </c>
      <c r="E105" s="133" t="s">
        <v>690</v>
      </c>
    </row>
    <row r="106" customFormat="false" ht="15" hidden="false" customHeight="true" outlineLevel="0" collapsed="false">
      <c r="B106" s="133" t="s">
        <v>691</v>
      </c>
      <c r="C106" s="133"/>
      <c r="D106" s="133" t="str">
        <f aca="false">"$"&amp;TEXT(C106,"#,##0.00")&amp;" per SF"</f>
        <v>$0.00 per SF</v>
      </c>
      <c r="E106" s="133" t="s">
        <v>692</v>
      </c>
    </row>
    <row r="107" customFormat="false" ht="15" hidden="false" customHeight="true" outlineLevel="0" collapsed="false">
      <c r="B107" s="133" t="s">
        <v>693</v>
      </c>
      <c r="C107" s="133"/>
      <c r="D107" s="133" t="str">
        <f aca="false">IF(C107="","",C107)</f>
        <v/>
      </c>
      <c r="E107" s="133" t="s">
        <v>694</v>
      </c>
    </row>
    <row r="109" customFormat="false" ht="19.5" hidden="false" customHeight="true" outlineLevel="0" collapsed="false">
      <c r="B109" s="148" t="s">
        <v>695</v>
      </c>
      <c r="C109" s="148"/>
      <c r="D109" s="148"/>
      <c r="E109" s="148"/>
      <c r="F109" s="148"/>
    </row>
    <row r="110" customFormat="false" ht="30" hidden="false" customHeight="true" outlineLevel="0" collapsed="false">
      <c r="B110" s="149" t="s">
        <v>552</v>
      </c>
      <c r="C110" s="149" t="s">
        <v>553</v>
      </c>
      <c r="D110" s="149" t="s">
        <v>554</v>
      </c>
      <c r="E110" s="149" t="s">
        <v>393</v>
      </c>
    </row>
    <row r="111" customFormat="false" ht="15" hidden="false" customHeight="true" outlineLevel="0" collapsed="false">
      <c r="B111" s="132" t="s">
        <v>146</v>
      </c>
      <c r="C111" s="132" t="s">
        <v>696</v>
      </c>
      <c r="D111" s="132" t="str">
        <f aca="false">IF(C111="","",C111)</f>
        <v>Yes</v>
      </c>
      <c r="E111" s="132" t="s">
        <v>697</v>
      </c>
    </row>
    <row r="112" customFormat="false" ht="15" hidden="false" customHeight="true" outlineLevel="0" collapsed="false">
      <c r="B112" s="132" t="s">
        <v>698</v>
      </c>
      <c r="C112" s="132"/>
      <c r="D112" s="132" t="str">
        <f aca="false">IF(C111="Yes","was developed","was not developed")</f>
        <v>was developed</v>
      </c>
      <c r="E112" s="132" t="e">
        <f aca="false">IF(c above="Yes","was developed","was not developed")</f>
        <v>#VALUE!</v>
      </c>
    </row>
    <row r="113" customFormat="false" ht="15" hidden="false" customHeight="true" outlineLevel="0" collapsed="false">
      <c r="B113" s="133" t="s">
        <v>139</v>
      </c>
      <c r="C113" s="133"/>
      <c r="D113" s="133" t="str">
        <f aca="false">TEXT(C113,"0.0%")</f>
        <v>0.0%</v>
      </c>
      <c r="E113" s="133" t="s">
        <v>699</v>
      </c>
    </row>
    <row r="114" customFormat="false" ht="15" hidden="false" customHeight="true" outlineLevel="0" collapsed="false">
      <c r="B114" s="132" t="s">
        <v>147</v>
      </c>
      <c r="C114" s="132" t="s">
        <v>696</v>
      </c>
      <c r="D114" s="132" t="str">
        <f aca="false">IF(C114="","",C114)</f>
        <v>Yes</v>
      </c>
      <c r="E114" s="132" t="s">
        <v>697</v>
      </c>
    </row>
    <row r="115" customFormat="false" ht="15" hidden="false" customHeight="true" outlineLevel="0" collapsed="false">
      <c r="B115" s="133" t="s">
        <v>142</v>
      </c>
      <c r="C115" s="133"/>
      <c r="D115" s="133" t="str">
        <f aca="false">TEXT(C115,"0.0%")</f>
        <v>0.0%</v>
      </c>
      <c r="E115" s="133" t="s">
        <v>700</v>
      </c>
    </row>
    <row r="116" customFormat="false" ht="15" hidden="false" customHeight="true" outlineLevel="0" collapsed="false">
      <c r="B116" s="132" t="s">
        <v>145</v>
      </c>
      <c r="C116" s="132" t="s">
        <v>701</v>
      </c>
      <c r="D116" s="132" t="str">
        <f aca="false">IF(C116="","",C116)</f>
        <v>No</v>
      </c>
      <c r="E116" s="132" t="s">
        <v>697</v>
      </c>
    </row>
    <row r="117" customFormat="false" ht="15" hidden="false" customHeight="true" outlineLevel="0" collapsed="false">
      <c r="B117" s="132" t="s">
        <v>702</v>
      </c>
      <c r="C117" s="132"/>
      <c r="D117" s="132" t="str">
        <f aca="false">IF(C116="Yes","was developed","was not developed")</f>
        <v>was not developed</v>
      </c>
      <c r="E117" s="132" t="s">
        <v>703</v>
      </c>
    </row>
    <row r="118" customFormat="false" ht="15" hidden="false" customHeight="true" outlineLevel="0" collapsed="false">
      <c r="B118" s="133" t="s">
        <v>136</v>
      </c>
      <c r="C118" s="133"/>
      <c r="D118" s="133" t="str">
        <f aca="false">TEXT(C118,"0.0%")</f>
        <v>0.0%</v>
      </c>
      <c r="E118" s="133" t="s">
        <v>704</v>
      </c>
    </row>
    <row r="119" customFormat="false" ht="19.5" hidden="false" customHeight="true" outlineLevel="0" collapsed="false">
      <c r="B119" s="140" t="s">
        <v>705</v>
      </c>
    </row>
    <row r="121" customFormat="false" ht="12.75" hidden="false" customHeight="true" outlineLevel="0" collapsed="false">
      <c r="B121" s="150" t="s">
        <v>706</v>
      </c>
      <c r="C121" s="150" t="str">
        <f aca="false">IF(C114="Yes","was developed","was not developed")</f>
        <v>was developed</v>
      </c>
      <c r="D121" s="150" t="str">
        <f aca="false">IF(C114="Yes","was developed","was not developed")</f>
        <v>was developed</v>
      </c>
      <c r="E121" s="150" t="s">
        <v>707</v>
      </c>
    </row>
    <row r="122" customFormat="false" ht="12.75" hidden="false" customHeight="true" outlineLevel="0" collapsed="false">
      <c r="B122" s="150" t="s">
        <v>148</v>
      </c>
      <c r="C122" s="150" t="n">
        <f aca="false">ROUND((IFERROR(C14*C113,0)+IFERROR(C58*C115,0)+IFERROR(C67*C118,0))/25000,0)*25000</f>
        <v>0</v>
      </c>
      <c r="D122" s="150" t="str">
        <f aca="false">TEXT(C122,"$#,##0")</f>
        <v>$0</v>
      </c>
      <c r="E122" s="150" t="s">
        <v>708</v>
      </c>
    </row>
    <row r="123" customFormat="false" ht="12.75" hidden="false" customHeight="true" outlineLevel="0" collapsed="false">
      <c r="B123" s="150" t="s">
        <v>150</v>
      </c>
      <c r="C123" s="151"/>
      <c r="D123" s="150" t="str">
        <f aca="false">IF(C123="","",C123)</f>
        <v/>
      </c>
      <c r="E123" s="152" t="s">
        <v>709</v>
      </c>
    </row>
    <row r="124" customFormat="false" ht="12.75" hidden="false" customHeight="true" outlineLevel="0" collapsed="false">
      <c r="B124" s="150" t="s">
        <v>153</v>
      </c>
      <c r="C124" s="151"/>
      <c r="D124" s="150" t="str">
        <f aca="false">IF(C124="","",C124)</f>
        <v/>
      </c>
      <c r="E124" s="152" t="s">
        <v>710</v>
      </c>
    </row>
    <row r="125" customFormat="false" ht="12.75" hidden="false" customHeight="true" outlineLevel="0" collapsed="false">
      <c r="B125" s="150" t="s">
        <v>711</v>
      </c>
      <c r="C125" s="150" t="str">
        <f aca="false">TRIM(IF(C111="Yes","Sales Comparison Approach","")&amp;IF(AND(C111="Yes",OR(C114="Yes",C116="Yes"))," and ","")&amp;IF(C114="Yes","Income Approach","")&amp;IF(AND(C114="Yes",C116="Yes")," and ","")&amp;IF(C116="Yes","Cost Approach",""))</f>
        <v>Sales Comparison Approach and Income Approach</v>
      </c>
      <c r="D125" s="150" t="str">
        <f aca="false">C125</f>
        <v>Sales Comparison Approach and Income Approach</v>
      </c>
      <c r="E125" s="150" t="s">
        <v>712</v>
      </c>
    </row>
    <row r="126" customFormat="false" ht="12.75" hidden="false" customHeight="true" outlineLevel="0" collapsed="false">
      <c r="B126" s="150" t="s">
        <v>713</v>
      </c>
      <c r="C126" s="150" t="str">
        <f aca="false">TRIM(IF(C111="Yes","The Sales Comparison Approach","")&amp;IF(AND(C111="Yes",OR(C114="Yes",C116="Yes"))," and ","")&amp;IF(C114="Yes","the Income Approach","")&amp;IF(AND(C114="Yes",C116="Yes")," and ","")&amp;IF(C116="Yes","the Cost Approach","")&amp;" were developed.")</f>
        <v>The Sales Comparison Approach and the Income Approach were developed.</v>
      </c>
      <c r="D126" s="150" t="str">
        <f aca="false">C126</f>
        <v>The Sales Comparison Approach and the Income Approach were developed.</v>
      </c>
      <c r="E126" s="150" t="s">
        <v>714</v>
      </c>
    </row>
    <row r="127" customFormat="false" ht="12.75" hidden="false" customHeight="true" outlineLevel="0" collapsed="false">
      <c r="B127" s="150" t="s">
        <v>245</v>
      </c>
      <c r="C127" s="151" t="s">
        <v>715</v>
      </c>
      <c r="D127" s="150" t="str">
        <f aca="false">IF(C127="","",C127)</f>
        <v>square foot</v>
      </c>
      <c r="E127" s="152" t="s">
        <v>716</v>
      </c>
    </row>
    <row r="128" customFormat="false" ht="19.5" hidden="false" customHeight="true" outlineLevel="0" collapsed="false">
      <c r="B128" s="140" t="s">
        <v>717</v>
      </c>
    </row>
    <row r="129" customFormat="false" ht="12.75" hidden="false" customHeight="true" outlineLevel="0" collapsed="false">
      <c r="B129" s="150" t="s">
        <v>718</v>
      </c>
      <c r="C129" s="150" t="n">
        <f aca="false">Intake!B34</f>
        <v>0</v>
      </c>
      <c r="D129" s="150" t="str">
        <f aca="false">TEXT(C129,"#,##0")</f>
        <v>0</v>
      </c>
      <c r="E129" s="150" t="e">
        <f aca="false">intake site area sf</f>
        <v>#VALUE!</v>
      </c>
    </row>
    <row r="130" customFormat="false" ht="12.75" hidden="false" customHeight="true" outlineLevel="0" collapsed="false">
      <c r="B130" s="150" t="s">
        <v>719</v>
      </c>
      <c r="C130" s="150" t="n">
        <f aca="false">Intake!B35</f>
        <v>0</v>
      </c>
      <c r="D130" s="150" t="str">
        <f aca="false">TEXT(C130,"0.00")</f>
        <v>0.00</v>
      </c>
      <c r="E130" s="150" t="e">
        <f aca="false">intake site area acres</f>
        <v>#VALUE!</v>
      </c>
    </row>
    <row r="131" customFormat="false" ht="12.75" hidden="false" customHeight="true" outlineLevel="0" collapsed="false">
      <c r="B131" s="150" t="s">
        <v>720</v>
      </c>
      <c r="C131" s="150" t="n">
        <f aca="false">Intake!B35</f>
        <v>0</v>
      </c>
      <c r="D131" s="150" t="str">
        <f aca="false">TEXT(C131,"0.00")</f>
        <v>0.00</v>
      </c>
      <c r="E131" s="150" t="e">
        <f aca="false">same as site_area_acres</f>
        <v>#VALUE!</v>
      </c>
    </row>
    <row r="132" customFormat="false" ht="12.75" hidden="false" customHeight="true" outlineLevel="0" collapsed="false">
      <c r="B132" s="150" t="s">
        <v>721</v>
      </c>
      <c r="C132" s="150" t="n">
        <f aca="false">Intake!B36</f>
        <v>0</v>
      </c>
      <c r="D132" s="150" t="str">
        <f aca="false">IF(C132="","",TEXT(C132,"0"))</f>
        <v/>
      </c>
      <c r="E132" s="150" t="e">
        <f aca="false">intake unit count</f>
        <v>#VALUE!</v>
      </c>
    </row>
    <row r="133" customFormat="false" ht="12.75" hidden="false" customHeight="true" outlineLevel="0" collapsed="false">
      <c r="B133" s="150" t="s">
        <v>722</v>
      </c>
      <c r="C133" s="150" t="n">
        <f aca="false">Intake!B37</f>
        <v>0</v>
      </c>
      <c r="D133" s="150" t="str">
        <f aca="false">IF(C133="","",C133)</f>
        <v/>
      </c>
      <c r="E133" s="150" t="e">
        <f aca="false">intake stories</f>
        <v>#VALUE!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7.67"/>
    <col collapsed="false" customWidth="true" hidden="false" outlineLevel="0" max="3" min="3" style="1" width="24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35" min="6" style="1" width="14"/>
  </cols>
  <sheetData>
    <row r="1" customFormat="false" ht="27.75" hidden="false" customHeight="true" outlineLevel="0" collapsed="false">
      <c r="A1" s="153" t="s">
        <v>723</v>
      </c>
      <c r="B1" s="153" t="s">
        <v>724</v>
      </c>
      <c r="C1" s="153" t="s">
        <v>725</v>
      </c>
      <c r="D1" s="153" t="s">
        <v>726</v>
      </c>
      <c r="E1" s="153" t="s">
        <v>727</v>
      </c>
      <c r="F1" s="153" t="s">
        <v>728</v>
      </c>
      <c r="G1" s="153" t="s">
        <v>729</v>
      </c>
      <c r="H1" s="153" t="s">
        <v>730</v>
      </c>
      <c r="I1" s="153" t="s">
        <v>731</v>
      </c>
      <c r="J1" s="153" t="s">
        <v>732</v>
      </c>
      <c r="K1" s="153" t="s">
        <v>733</v>
      </c>
      <c r="L1" s="153" t="s">
        <v>734</v>
      </c>
      <c r="M1" s="153" t="s">
        <v>735</v>
      </c>
      <c r="N1" s="153" t="s">
        <v>736</v>
      </c>
      <c r="O1" s="153" t="s">
        <v>737</v>
      </c>
      <c r="P1" s="153" t="s">
        <v>738</v>
      </c>
      <c r="Q1" s="153" t="s">
        <v>739</v>
      </c>
      <c r="R1" s="153" t="s">
        <v>740</v>
      </c>
      <c r="S1" s="153" t="s">
        <v>741</v>
      </c>
      <c r="T1" s="153" t="s">
        <v>742</v>
      </c>
      <c r="U1" s="153" t="s">
        <v>743</v>
      </c>
      <c r="V1" s="153" t="s">
        <v>744</v>
      </c>
      <c r="W1" s="153" t="s">
        <v>745</v>
      </c>
      <c r="X1" s="153" t="s">
        <v>746</v>
      </c>
      <c r="Y1" s="153" t="s">
        <v>747</v>
      </c>
      <c r="Z1" s="153" t="s">
        <v>748</v>
      </c>
      <c r="AA1" s="153" t="s">
        <v>749</v>
      </c>
      <c r="AB1" s="153" t="s">
        <v>750</v>
      </c>
      <c r="AC1" s="153" t="s">
        <v>751</v>
      </c>
      <c r="AD1" s="153" t="s">
        <v>752</v>
      </c>
      <c r="AE1" s="153" t="s">
        <v>753</v>
      </c>
      <c r="AF1" s="153" t="s">
        <v>754</v>
      </c>
      <c r="AG1" s="153" t="s">
        <v>755</v>
      </c>
      <c r="AH1" s="153" t="s">
        <v>756</v>
      </c>
      <c r="AI1" s="153" t="s">
        <v>757</v>
      </c>
    </row>
    <row r="2" customFormat="false" ht="36" hidden="false" customHeight="true" outlineLevel="0" collapsed="false">
      <c r="A2" s="154" t="s">
        <v>758</v>
      </c>
      <c r="B2" s="154" t="s">
        <v>759</v>
      </c>
      <c r="C2" s="154" t="s">
        <v>34</v>
      </c>
      <c r="D2" s="154" t="s">
        <v>37</v>
      </c>
      <c r="E2" s="154" t="s">
        <v>760</v>
      </c>
      <c r="F2" s="154" t="s">
        <v>761</v>
      </c>
      <c r="G2" s="154" t="s">
        <v>762</v>
      </c>
      <c r="H2" s="154" t="s">
        <v>763</v>
      </c>
      <c r="I2" s="154" t="s">
        <v>764</v>
      </c>
      <c r="J2" s="154" t="s">
        <v>765</v>
      </c>
      <c r="K2" s="154" t="s">
        <v>766</v>
      </c>
      <c r="L2" s="154" t="s">
        <v>767</v>
      </c>
      <c r="M2" s="154" t="s">
        <v>768</v>
      </c>
      <c r="N2" s="154" t="s">
        <v>769</v>
      </c>
      <c r="O2" s="154" t="s">
        <v>770</v>
      </c>
      <c r="P2" s="154" t="s">
        <v>771</v>
      </c>
      <c r="Q2" s="154" t="s">
        <v>772</v>
      </c>
      <c r="R2" s="154" t="s">
        <v>773</v>
      </c>
      <c r="S2" s="154" t="s">
        <v>774</v>
      </c>
      <c r="T2" s="154" t="s">
        <v>775</v>
      </c>
      <c r="U2" s="154" t="s">
        <v>776</v>
      </c>
      <c r="V2" s="154" t="s">
        <v>777</v>
      </c>
      <c r="W2" s="154" t="s">
        <v>778</v>
      </c>
      <c r="X2" s="154" t="s">
        <v>779</v>
      </c>
      <c r="Y2" s="154" t="s">
        <v>780</v>
      </c>
      <c r="Z2" s="154" t="s">
        <v>781</v>
      </c>
      <c r="AA2" s="154" t="s">
        <v>782</v>
      </c>
      <c r="AB2" s="154" t="s">
        <v>783</v>
      </c>
      <c r="AC2" s="154" t="s">
        <v>784</v>
      </c>
      <c r="AD2" s="154" t="s">
        <v>785</v>
      </c>
      <c r="AE2" s="154" t="s">
        <v>786</v>
      </c>
      <c r="AF2" s="154" t="s">
        <v>787</v>
      </c>
      <c r="AG2" s="154" t="s">
        <v>788</v>
      </c>
      <c r="AH2" s="154" t="s">
        <v>789</v>
      </c>
      <c r="AI2" s="154" t="s">
        <v>790</v>
      </c>
    </row>
    <row r="3" customFormat="false" ht="19.5" hidden="false" customHeight="true" outlineLevel="0" collapsed="false">
      <c r="A3" s="155" t="s">
        <v>791</v>
      </c>
      <c r="B3" s="156" t="s">
        <v>792</v>
      </c>
      <c r="C3" s="156" t="s">
        <v>793</v>
      </c>
      <c r="D3" s="156" t="s">
        <v>794</v>
      </c>
      <c r="E3" s="156" t="s">
        <v>59</v>
      </c>
      <c r="F3" s="156" t="s">
        <v>795</v>
      </c>
      <c r="G3" s="156" t="s">
        <v>796</v>
      </c>
      <c r="H3" s="156" t="s">
        <v>797</v>
      </c>
      <c r="I3" s="156" t="s">
        <v>798</v>
      </c>
      <c r="J3" s="156" t="s">
        <v>799</v>
      </c>
      <c r="K3" s="156" t="s">
        <v>800</v>
      </c>
      <c r="L3" s="156" t="s">
        <v>801</v>
      </c>
      <c r="M3" s="156" t="s">
        <v>802</v>
      </c>
      <c r="N3" s="156" t="s">
        <v>803</v>
      </c>
      <c r="O3" s="156" t="s">
        <v>301</v>
      </c>
      <c r="P3" s="156" t="s">
        <v>804</v>
      </c>
      <c r="Q3" s="156" t="s">
        <v>805</v>
      </c>
      <c r="R3" s="156" t="s">
        <v>806</v>
      </c>
      <c r="S3" s="156" t="s">
        <v>326</v>
      </c>
      <c r="T3" s="156" t="s">
        <v>807</v>
      </c>
      <c r="U3" s="156" t="s">
        <v>807</v>
      </c>
      <c r="V3" s="156" t="s">
        <v>808</v>
      </c>
      <c r="W3" s="156" t="s">
        <v>809</v>
      </c>
      <c r="X3" s="156" t="s">
        <v>810</v>
      </c>
      <c r="Y3" s="156" t="s">
        <v>811</v>
      </c>
      <c r="Z3" s="156" t="s">
        <v>812</v>
      </c>
      <c r="AA3" s="156" t="s">
        <v>813</v>
      </c>
      <c r="AB3" s="156" t="s">
        <v>814</v>
      </c>
      <c r="AC3" s="156" t="s">
        <v>815</v>
      </c>
      <c r="AD3" s="156" t="s">
        <v>816</v>
      </c>
      <c r="AE3" s="156" t="s">
        <v>817</v>
      </c>
      <c r="AF3" s="156" t="s">
        <v>818</v>
      </c>
      <c r="AG3" s="156" t="s">
        <v>819</v>
      </c>
      <c r="AH3" s="156" t="s">
        <v>820</v>
      </c>
      <c r="AI3" s="156" t="s">
        <v>821</v>
      </c>
    </row>
    <row r="4" customFormat="false" ht="19.5" hidden="false" customHeight="true" outlineLevel="0" collapsed="false">
      <c r="A4" s="157" t="s">
        <v>822</v>
      </c>
      <c r="B4" s="156" t="s">
        <v>823</v>
      </c>
      <c r="C4" s="156" t="s">
        <v>824</v>
      </c>
      <c r="D4" s="156" t="s">
        <v>825</v>
      </c>
      <c r="E4" s="156" t="s">
        <v>59</v>
      </c>
      <c r="F4" s="156" t="s">
        <v>826</v>
      </c>
      <c r="G4" s="156" t="s">
        <v>827</v>
      </c>
      <c r="H4" s="156" t="s">
        <v>828</v>
      </c>
      <c r="I4" s="156" t="s">
        <v>829</v>
      </c>
      <c r="J4" s="156" t="s">
        <v>830</v>
      </c>
      <c r="K4" s="156" t="s">
        <v>831</v>
      </c>
      <c r="L4" s="156" t="s">
        <v>832</v>
      </c>
      <c r="M4" s="156" t="s">
        <v>833</v>
      </c>
      <c r="N4" s="156" t="s">
        <v>834</v>
      </c>
      <c r="O4" s="156" t="s">
        <v>301</v>
      </c>
      <c r="P4" s="156" t="s">
        <v>835</v>
      </c>
      <c r="Q4" s="156" t="s">
        <v>836</v>
      </c>
      <c r="R4" s="156" t="s">
        <v>305</v>
      </c>
      <c r="S4" s="156" t="s">
        <v>326</v>
      </c>
      <c r="T4" s="156" t="s">
        <v>301</v>
      </c>
      <c r="U4" s="156" t="s">
        <v>807</v>
      </c>
      <c r="V4" s="156" t="s">
        <v>808</v>
      </c>
      <c r="W4" s="156" t="s">
        <v>837</v>
      </c>
      <c r="X4" s="156" t="s">
        <v>838</v>
      </c>
      <c r="Y4" s="156" t="s">
        <v>839</v>
      </c>
      <c r="Z4" s="156" t="s">
        <v>812</v>
      </c>
      <c r="AA4" s="156" t="s">
        <v>840</v>
      </c>
      <c r="AB4" s="156" t="s">
        <v>841</v>
      </c>
      <c r="AC4" s="156" t="s">
        <v>842</v>
      </c>
      <c r="AD4" s="156" t="s">
        <v>843</v>
      </c>
      <c r="AE4" s="156" t="s">
        <v>844</v>
      </c>
      <c r="AF4" s="156" t="s">
        <v>845</v>
      </c>
      <c r="AG4" s="156" t="s">
        <v>846</v>
      </c>
      <c r="AH4" s="156" t="s">
        <v>847</v>
      </c>
      <c r="AI4" s="156" t="s">
        <v>848</v>
      </c>
    </row>
    <row r="5" customFormat="false" ht="19.5" hidden="false" customHeight="true" outlineLevel="0" collapsed="false">
      <c r="A5" s="155" t="s">
        <v>849</v>
      </c>
      <c r="B5" s="156" t="s">
        <v>850</v>
      </c>
      <c r="C5" s="156" t="s">
        <v>851</v>
      </c>
      <c r="D5" s="156" t="s">
        <v>852</v>
      </c>
      <c r="E5" s="156" t="s">
        <v>59</v>
      </c>
      <c r="F5" s="156" t="s">
        <v>853</v>
      </c>
      <c r="G5" s="156" t="s">
        <v>854</v>
      </c>
      <c r="H5" s="156" t="s">
        <v>855</v>
      </c>
      <c r="I5" s="156" t="s">
        <v>856</v>
      </c>
      <c r="J5" s="156" t="s">
        <v>857</v>
      </c>
      <c r="K5" s="156" t="s">
        <v>858</v>
      </c>
      <c r="L5" s="156" t="s">
        <v>859</v>
      </c>
      <c r="M5" s="156" t="s">
        <v>802</v>
      </c>
      <c r="N5" s="156" t="s">
        <v>860</v>
      </c>
      <c r="O5" s="156" t="s">
        <v>807</v>
      </c>
      <c r="P5" s="156" t="s">
        <v>804</v>
      </c>
      <c r="Q5" s="156" t="s">
        <v>805</v>
      </c>
      <c r="R5" s="156" t="s">
        <v>806</v>
      </c>
      <c r="S5" s="156" t="s">
        <v>326</v>
      </c>
      <c r="T5" s="156" t="s">
        <v>807</v>
      </c>
      <c r="U5" s="156" t="s">
        <v>301</v>
      </c>
      <c r="V5" s="156" t="s">
        <v>808</v>
      </c>
      <c r="W5" s="156" t="s">
        <v>861</v>
      </c>
      <c r="X5" s="156" t="s">
        <v>862</v>
      </c>
      <c r="Y5" s="156" t="s">
        <v>863</v>
      </c>
      <c r="Z5" s="156" t="s">
        <v>812</v>
      </c>
      <c r="AA5" s="156" t="s">
        <v>864</v>
      </c>
      <c r="AB5" s="156" t="s">
        <v>865</v>
      </c>
      <c r="AC5" s="156" t="s">
        <v>866</v>
      </c>
      <c r="AD5" s="156" t="s">
        <v>867</v>
      </c>
      <c r="AE5" s="156" t="s">
        <v>868</v>
      </c>
      <c r="AF5" s="156" t="s">
        <v>869</v>
      </c>
      <c r="AG5" s="156" t="s">
        <v>870</v>
      </c>
      <c r="AH5" s="156" t="s">
        <v>871</v>
      </c>
      <c r="AI5" s="156" t="s">
        <v>872</v>
      </c>
    </row>
    <row r="6" customFormat="false" ht="19.5" hidden="false" customHeight="true" outlineLevel="0" collapsed="false">
      <c r="A6" s="157" t="s">
        <v>873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</row>
    <row r="7" customFormat="false" ht="19.5" hidden="false" customHeight="true" outlineLevel="0" collapsed="false">
      <c r="A7" s="155" t="s">
        <v>874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6"/>
      <c r="AH7" s="156"/>
      <c r="AI7" s="156"/>
    </row>
    <row r="8" customFormat="false" ht="19.5" hidden="false" customHeight="true" outlineLevel="0" collapsed="false">
      <c r="A8" s="157" t="s">
        <v>875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</row>
    <row r="9" customFormat="false" ht="19.5" hidden="false" customHeight="true" outlineLevel="0" collapsed="false">
      <c r="A9" s="155" t="s">
        <v>876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7" min="2" style="1" width="14"/>
  </cols>
  <sheetData>
    <row r="1" customFormat="false" ht="18" hidden="false" customHeight="true" outlineLevel="0" collapsed="false">
      <c r="A1" s="55" t="s">
        <v>877</v>
      </c>
      <c r="B1" s="55"/>
      <c r="C1" s="55"/>
      <c r="D1" s="55"/>
      <c r="E1" s="55"/>
      <c r="F1" s="55"/>
      <c r="G1" s="55"/>
    </row>
    <row r="2" customFormat="false" ht="13.5" hidden="false" customHeight="true" outlineLevel="0" collapsed="false">
      <c r="A2" s="4" t="s">
        <v>878</v>
      </c>
      <c r="B2" s="4"/>
      <c r="C2" s="4"/>
      <c r="D2" s="4"/>
      <c r="E2" s="4"/>
      <c r="F2" s="4"/>
      <c r="G2" s="4"/>
    </row>
    <row r="3" customFormat="false" ht="15.75" hidden="false" customHeight="true" outlineLevel="0" collapsed="false">
      <c r="A3" s="66" t="s">
        <v>879</v>
      </c>
      <c r="B3" s="66" t="s">
        <v>880</v>
      </c>
      <c r="C3" s="66" t="s">
        <v>881</v>
      </c>
      <c r="D3" s="66" t="s">
        <v>882</v>
      </c>
      <c r="E3" s="66" t="s">
        <v>883</v>
      </c>
      <c r="F3" s="66" t="s">
        <v>884</v>
      </c>
      <c r="G3" s="66" t="s">
        <v>885</v>
      </c>
    </row>
    <row r="4" customFormat="false" ht="12.75" hidden="false" customHeight="true" outlineLevel="0" collapsed="false">
      <c r="A4" s="158" t="n">
        <v>0.01</v>
      </c>
      <c r="B4" s="159" t="n">
        <v>0.23</v>
      </c>
      <c r="C4" s="159" t="n">
        <v>0.28</v>
      </c>
      <c r="D4" s="159" t="n">
        <v>0.34</v>
      </c>
      <c r="E4" s="159" t="n">
        <v>0.41</v>
      </c>
      <c r="F4" s="159" t="n">
        <v>0.5</v>
      </c>
      <c r="G4" s="159" t="s">
        <v>886</v>
      </c>
    </row>
    <row r="5" customFormat="false" ht="12.75" hidden="false" customHeight="true" outlineLevel="0" collapsed="false">
      <c r="A5" s="160" t="n">
        <v>0.02</v>
      </c>
      <c r="B5" s="161" t="n">
        <v>0.28</v>
      </c>
      <c r="C5" s="161" t="n">
        <v>0.34</v>
      </c>
      <c r="D5" s="161" t="n">
        <v>0.4</v>
      </c>
      <c r="E5" s="161" t="n">
        <v>0.47</v>
      </c>
      <c r="F5" s="161" t="n">
        <v>0.55</v>
      </c>
      <c r="G5" s="161" t="s">
        <v>887</v>
      </c>
    </row>
    <row r="6" customFormat="false" ht="12.75" hidden="false" customHeight="true" outlineLevel="0" collapsed="false">
      <c r="A6" s="158" t="n">
        <v>0.03</v>
      </c>
      <c r="B6" s="159" t="n">
        <v>0.32</v>
      </c>
      <c r="C6" s="159" t="n">
        <v>0.38</v>
      </c>
      <c r="D6" s="159" t="n">
        <v>0.44</v>
      </c>
      <c r="E6" s="159" t="n">
        <v>0.51</v>
      </c>
      <c r="F6" s="159" t="n">
        <v>0.59</v>
      </c>
      <c r="G6" s="159" t="s">
        <v>888</v>
      </c>
    </row>
    <row r="7" customFormat="false" ht="12.75" hidden="false" customHeight="true" outlineLevel="0" collapsed="false">
      <c r="A7" s="160" t="n">
        <v>0.04</v>
      </c>
      <c r="B7" s="161" t="n">
        <v>0.35</v>
      </c>
      <c r="C7" s="161" t="n">
        <v>0.41</v>
      </c>
      <c r="D7" s="161" t="n">
        <v>0.47</v>
      </c>
      <c r="E7" s="161" t="n">
        <v>0.54</v>
      </c>
      <c r="F7" s="161" t="n">
        <v>0.61</v>
      </c>
      <c r="G7" s="161" t="s">
        <v>889</v>
      </c>
    </row>
    <row r="8" customFormat="false" ht="12.75" hidden="false" customHeight="true" outlineLevel="0" collapsed="false">
      <c r="A8" s="158" t="n">
        <v>0.05</v>
      </c>
      <c r="B8" s="159" t="n">
        <v>0.38</v>
      </c>
      <c r="C8" s="159" t="n">
        <v>0.44</v>
      </c>
      <c r="D8" s="159" t="n">
        <v>0.49</v>
      </c>
      <c r="E8" s="159" t="n">
        <v>0.56</v>
      </c>
      <c r="F8" s="159" t="n">
        <v>0.63</v>
      </c>
      <c r="G8" s="159" t="s">
        <v>890</v>
      </c>
    </row>
    <row r="9" customFormat="false" ht="12.75" hidden="false" customHeight="true" outlineLevel="0" collapsed="false">
      <c r="A9" s="160" t="n">
        <v>0.06</v>
      </c>
      <c r="B9" s="161" t="n">
        <v>0.4</v>
      </c>
      <c r="C9" s="161" t="n">
        <v>0.46</v>
      </c>
      <c r="D9" s="161" t="n">
        <v>0.52</v>
      </c>
      <c r="E9" s="161" t="n">
        <v>0.58</v>
      </c>
      <c r="F9" s="161" t="n">
        <v>0.65</v>
      </c>
      <c r="G9" s="161" t="s">
        <v>891</v>
      </c>
    </row>
    <row r="10" customFormat="false" ht="12.75" hidden="false" customHeight="true" outlineLevel="0" collapsed="false">
      <c r="A10" s="158" t="n">
        <v>0.07</v>
      </c>
      <c r="B10" s="159" t="n">
        <v>0.42</v>
      </c>
      <c r="C10" s="159" t="n">
        <v>0.48</v>
      </c>
      <c r="D10" s="159" t="n">
        <v>0.54</v>
      </c>
      <c r="E10" s="159" t="n">
        <v>0.6</v>
      </c>
      <c r="F10" s="159" t="n">
        <v>0.67</v>
      </c>
      <c r="G10" s="159" t="s">
        <v>892</v>
      </c>
    </row>
    <row r="11" customFormat="false" ht="12.75" hidden="false" customHeight="true" outlineLevel="0" collapsed="false">
      <c r="A11" s="160" t="n">
        <v>0.08</v>
      </c>
      <c r="B11" s="161" t="n">
        <v>0.44</v>
      </c>
      <c r="C11" s="161" t="n">
        <v>0.5</v>
      </c>
      <c r="D11" s="161" t="n">
        <v>0.55</v>
      </c>
      <c r="E11" s="161" t="n">
        <v>0.61</v>
      </c>
      <c r="F11" s="161" t="n">
        <v>0.68</v>
      </c>
      <c r="G11" s="161" t="s">
        <v>893</v>
      </c>
    </row>
    <row r="12" customFormat="false" ht="12.75" hidden="false" customHeight="true" outlineLevel="0" collapsed="false">
      <c r="A12" s="158" t="n">
        <v>0.09</v>
      </c>
      <c r="B12" s="159" t="n">
        <v>0.46</v>
      </c>
      <c r="C12" s="159" t="n">
        <v>0.51</v>
      </c>
      <c r="D12" s="159" t="n">
        <v>0.57</v>
      </c>
      <c r="E12" s="159" t="n">
        <v>0.63</v>
      </c>
      <c r="F12" s="159" t="n">
        <v>0.69</v>
      </c>
      <c r="G12" s="159" t="s">
        <v>894</v>
      </c>
    </row>
    <row r="13" customFormat="false" ht="12.75" hidden="false" customHeight="true" outlineLevel="0" collapsed="false">
      <c r="A13" s="160" t="n">
        <v>0.1</v>
      </c>
      <c r="B13" s="161" t="n">
        <v>0.48</v>
      </c>
      <c r="C13" s="161" t="n">
        <v>0.53</v>
      </c>
      <c r="D13" s="161" t="n">
        <v>0.58</v>
      </c>
      <c r="E13" s="161" t="n">
        <v>0.64</v>
      </c>
      <c r="F13" s="161" t="n">
        <v>0.7</v>
      </c>
      <c r="G13" s="161" t="s">
        <v>895</v>
      </c>
    </row>
    <row r="14" customFormat="false" ht="12.75" hidden="false" customHeight="true" outlineLevel="0" collapsed="false">
      <c r="A14" s="158" t="n">
        <v>0.11</v>
      </c>
      <c r="B14" s="159" t="n">
        <v>0.49</v>
      </c>
      <c r="C14" s="159" t="n">
        <v>0.54</v>
      </c>
      <c r="D14" s="159" t="n">
        <v>0.6</v>
      </c>
      <c r="E14" s="159" t="n">
        <v>0.65</v>
      </c>
      <c r="F14" s="159" t="n">
        <v>0.71</v>
      </c>
      <c r="G14" s="159" t="s">
        <v>896</v>
      </c>
    </row>
    <row r="15" customFormat="false" ht="12.75" hidden="false" customHeight="true" outlineLevel="0" collapsed="false">
      <c r="A15" s="160" t="n">
        <v>0.12</v>
      </c>
      <c r="B15" s="161" t="n">
        <v>0.51</v>
      </c>
      <c r="C15" s="161" t="n">
        <v>0.56</v>
      </c>
      <c r="D15" s="161" t="n">
        <v>0.61</v>
      </c>
      <c r="E15" s="161" t="n">
        <v>0.66</v>
      </c>
      <c r="F15" s="161" t="n">
        <v>0.72</v>
      </c>
      <c r="G15" s="161" t="s">
        <v>897</v>
      </c>
    </row>
    <row r="16" customFormat="false" ht="12.75" hidden="false" customHeight="true" outlineLevel="0" collapsed="false">
      <c r="A16" s="158" t="n">
        <v>0.13</v>
      </c>
      <c r="B16" s="159" t="n">
        <v>0.52</v>
      </c>
      <c r="C16" s="159" t="n">
        <v>0.57</v>
      </c>
      <c r="D16" s="159" t="n">
        <v>0.62</v>
      </c>
      <c r="E16" s="159" t="n">
        <v>0.68</v>
      </c>
      <c r="F16" s="159" t="n">
        <v>0.73</v>
      </c>
      <c r="G16" s="159" t="s">
        <v>898</v>
      </c>
    </row>
    <row r="17" customFormat="false" ht="12.75" hidden="false" customHeight="true" outlineLevel="0" collapsed="false">
      <c r="A17" s="160" t="n">
        <v>0.14</v>
      </c>
      <c r="B17" s="161" t="n">
        <v>0.53</v>
      </c>
      <c r="C17" s="161" t="n">
        <v>0.58</v>
      </c>
      <c r="D17" s="161" t="n">
        <v>0.63</v>
      </c>
      <c r="E17" s="161" t="n">
        <v>0.68</v>
      </c>
      <c r="F17" s="161" t="n">
        <v>0.74</v>
      </c>
      <c r="G17" s="161" t="s">
        <v>899</v>
      </c>
    </row>
    <row r="18" customFormat="false" ht="12.75" hidden="false" customHeight="true" outlineLevel="0" collapsed="false">
      <c r="A18" s="158" t="n">
        <v>0.15</v>
      </c>
      <c r="B18" s="159" t="n">
        <v>0.54</v>
      </c>
      <c r="C18" s="159" t="n">
        <v>0.59</v>
      </c>
      <c r="D18" s="159" t="n">
        <v>0.64</v>
      </c>
      <c r="E18" s="159" t="n">
        <v>0.69</v>
      </c>
      <c r="F18" s="159" t="n">
        <v>0.75</v>
      </c>
      <c r="G18" s="159" t="s">
        <v>900</v>
      </c>
    </row>
    <row r="19" customFormat="false" ht="12.75" hidden="false" customHeight="true" outlineLevel="0" collapsed="false">
      <c r="A19" s="160" t="n">
        <v>0.16</v>
      </c>
      <c r="B19" s="161" t="n">
        <v>0.55</v>
      </c>
      <c r="C19" s="161" t="n">
        <v>0.6</v>
      </c>
      <c r="D19" s="161" t="n">
        <v>0.65</v>
      </c>
      <c r="E19" s="161" t="n">
        <v>0.7</v>
      </c>
      <c r="F19" s="161" t="n">
        <v>0.76</v>
      </c>
      <c r="G19" s="161" t="s">
        <v>901</v>
      </c>
    </row>
    <row r="20" customFormat="false" ht="12.75" hidden="false" customHeight="true" outlineLevel="0" collapsed="false">
      <c r="A20" s="158" t="n">
        <v>0.17</v>
      </c>
      <c r="B20" s="159" t="n">
        <v>0.57</v>
      </c>
      <c r="C20" s="159" t="n">
        <v>0.61</v>
      </c>
      <c r="D20" s="159" t="n">
        <v>0.66</v>
      </c>
      <c r="E20" s="159" t="n">
        <v>0.71</v>
      </c>
      <c r="F20" s="159" t="n">
        <v>0.76</v>
      </c>
      <c r="G20" s="159" t="s">
        <v>902</v>
      </c>
    </row>
    <row r="21" customFormat="false" ht="12.75" hidden="false" customHeight="true" outlineLevel="0" collapsed="false">
      <c r="A21" s="160" t="n">
        <v>0.18</v>
      </c>
      <c r="B21" s="161" t="n">
        <v>0.58</v>
      </c>
      <c r="C21" s="161" t="n">
        <v>0.62</v>
      </c>
      <c r="D21" s="161" t="n">
        <v>0.67</v>
      </c>
      <c r="E21" s="161" t="n">
        <v>0.72</v>
      </c>
      <c r="F21" s="161" t="n">
        <v>0.77</v>
      </c>
      <c r="G21" s="161" t="s">
        <v>903</v>
      </c>
    </row>
    <row r="22" customFormat="false" ht="12.75" hidden="false" customHeight="true" outlineLevel="0" collapsed="false">
      <c r="A22" s="158" t="n">
        <v>0.19</v>
      </c>
      <c r="B22" s="159" t="n">
        <v>0.59</v>
      </c>
      <c r="C22" s="159" t="n">
        <v>0.63</v>
      </c>
      <c r="D22" s="159" t="n">
        <v>0.68</v>
      </c>
      <c r="E22" s="159" t="n">
        <v>0.73</v>
      </c>
      <c r="F22" s="159" t="n">
        <v>0.78</v>
      </c>
      <c r="G22" s="159" t="s">
        <v>904</v>
      </c>
    </row>
    <row r="23" customFormat="false" ht="12.75" hidden="false" customHeight="true" outlineLevel="0" collapsed="false">
      <c r="A23" s="160" t="n">
        <v>0.2</v>
      </c>
      <c r="B23" s="161" t="n">
        <v>0.6</v>
      </c>
      <c r="C23" s="161" t="n">
        <v>0.64</v>
      </c>
      <c r="D23" s="161" t="n">
        <v>0.69</v>
      </c>
      <c r="E23" s="161" t="n">
        <v>0.73</v>
      </c>
      <c r="F23" s="161" t="n">
        <v>0.78</v>
      </c>
      <c r="G23" s="161" t="s">
        <v>905</v>
      </c>
    </row>
    <row r="24" customFormat="false" ht="12.75" hidden="false" customHeight="true" outlineLevel="0" collapsed="false">
      <c r="A24" s="158" t="n">
        <v>0.25</v>
      </c>
      <c r="B24" s="159" t="n">
        <v>0.64</v>
      </c>
      <c r="C24" s="159" t="n">
        <v>0.68</v>
      </c>
      <c r="D24" s="159" t="n">
        <v>0.72</v>
      </c>
      <c r="E24" s="159" t="n">
        <v>0.77</v>
      </c>
      <c r="F24" s="159" t="n">
        <v>0.81</v>
      </c>
      <c r="G24" s="159" t="s">
        <v>906</v>
      </c>
    </row>
    <row r="25" customFormat="false" ht="12.75" hidden="false" customHeight="true" outlineLevel="0" collapsed="false">
      <c r="A25" s="160" t="n">
        <v>0.3</v>
      </c>
      <c r="B25" s="161" t="n">
        <v>0.68</v>
      </c>
      <c r="C25" s="161" t="n">
        <v>0.72</v>
      </c>
      <c r="D25" s="161" t="n">
        <v>0.75</v>
      </c>
      <c r="E25" s="161" t="n">
        <v>0.79</v>
      </c>
      <c r="F25" s="161" t="n">
        <v>0.83</v>
      </c>
      <c r="G25" s="161" t="s">
        <v>907</v>
      </c>
    </row>
    <row r="26" customFormat="false" ht="12.75" hidden="false" customHeight="true" outlineLevel="0" collapsed="false">
      <c r="A26" s="158" t="n">
        <v>0.35</v>
      </c>
      <c r="B26" s="159" t="n">
        <v>0.71</v>
      </c>
      <c r="C26" s="159" t="n">
        <v>0.75</v>
      </c>
      <c r="D26" s="159" t="n">
        <v>0.78</v>
      </c>
      <c r="E26" s="159" t="n">
        <v>0.82</v>
      </c>
      <c r="F26" s="159" t="n">
        <v>0.85</v>
      </c>
      <c r="G26" s="159" t="s">
        <v>908</v>
      </c>
    </row>
    <row r="27" customFormat="false" ht="12.75" hidden="false" customHeight="true" outlineLevel="0" collapsed="false">
      <c r="A27" s="160" t="n">
        <v>0.4</v>
      </c>
      <c r="B27" s="161" t="n">
        <v>0.74</v>
      </c>
      <c r="C27" s="161" t="n">
        <v>0.78</v>
      </c>
      <c r="D27" s="161" t="n">
        <v>0.81</v>
      </c>
      <c r="E27" s="161" t="n">
        <v>0.84</v>
      </c>
      <c r="F27" s="161" t="n">
        <v>0.87</v>
      </c>
      <c r="G27" s="161" t="s">
        <v>909</v>
      </c>
    </row>
    <row r="28" customFormat="false" ht="12.75" hidden="false" customHeight="true" outlineLevel="0" collapsed="false">
      <c r="A28" s="158" t="n">
        <v>0.45</v>
      </c>
      <c r="B28" s="159" t="n">
        <v>0.77</v>
      </c>
      <c r="C28" s="159" t="n">
        <v>0.8</v>
      </c>
      <c r="D28" s="159" t="n">
        <v>0.83</v>
      </c>
      <c r="E28" s="159" t="n">
        <v>0.86</v>
      </c>
      <c r="F28" s="159" t="n">
        <v>0.89</v>
      </c>
      <c r="G28" s="159" t="s">
        <v>910</v>
      </c>
    </row>
    <row r="29" customFormat="false" ht="12.75" hidden="false" customHeight="true" outlineLevel="0" collapsed="false">
      <c r="A29" s="160" t="n">
        <v>0.5</v>
      </c>
      <c r="B29" s="161" t="n">
        <v>0.8</v>
      </c>
      <c r="C29" s="161" t="n">
        <v>0.82</v>
      </c>
      <c r="D29" s="161" t="n">
        <v>0.85</v>
      </c>
      <c r="E29" s="161" t="n">
        <v>0.88</v>
      </c>
      <c r="F29" s="161" t="n">
        <v>0.9</v>
      </c>
      <c r="G29" s="161" t="s">
        <v>911</v>
      </c>
    </row>
    <row r="30" customFormat="false" ht="12.75" hidden="false" customHeight="true" outlineLevel="0" collapsed="false">
      <c r="A30" s="158" t="n">
        <v>0.55</v>
      </c>
      <c r="B30" s="159" t="n">
        <v>0.82</v>
      </c>
      <c r="C30" s="159" t="n">
        <v>0.85</v>
      </c>
      <c r="D30" s="159" t="n">
        <v>0.87</v>
      </c>
      <c r="E30" s="159" t="n">
        <v>0.89</v>
      </c>
      <c r="F30" s="159" t="n">
        <v>0.91</v>
      </c>
      <c r="G30" s="159" t="s">
        <v>912</v>
      </c>
    </row>
    <row r="31" customFormat="false" ht="12.75" hidden="false" customHeight="true" outlineLevel="0" collapsed="false">
      <c r="A31" s="160" t="n">
        <v>0.6</v>
      </c>
      <c r="B31" s="161" t="n">
        <v>0.85</v>
      </c>
      <c r="C31" s="161" t="n">
        <v>0.87</v>
      </c>
      <c r="D31" s="161" t="n">
        <v>0.89</v>
      </c>
      <c r="E31" s="161" t="n">
        <v>0.91</v>
      </c>
      <c r="F31" s="161" t="n">
        <v>0.93</v>
      </c>
      <c r="G31" s="161" t="s">
        <v>913</v>
      </c>
    </row>
    <row r="32" customFormat="false" ht="12.75" hidden="false" customHeight="true" outlineLevel="0" collapsed="false">
      <c r="A32" s="158" t="n">
        <v>0.65</v>
      </c>
      <c r="B32" s="159" t="n">
        <v>0.87</v>
      </c>
      <c r="C32" s="159" t="n">
        <v>0.89</v>
      </c>
      <c r="D32" s="159" t="n">
        <v>0.9</v>
      </c>
      <c r="E32" s="159" t="n">
        <v>0.92</v>
      </c>
      <c r="F32" s="159" t="n">
        <v>0.94</v>
      </c>
      <c r="G32" s="159" t="s">
        <v>914</v>
      </c>
    </row>
    <row r="33" customFormat="false" ht="12.75" hidden="false" customHeight="true" outlineLevel="0" collapsed="false">
      <c r="A33" s="160" t="n">
        <v>0.7</v>
      </c>
      <c r="B33" s="161" t="n">
        <v>0.89</v>
      </c>
      <c r="C33" s="161" t="n">
        <v>0.91</v>
      </c>
      <c r="D33" s="161" t="n">
        <v>0.92</v>
      </c>
      <c r="E33" s="161" t="n">
        <v>0.93</v>
      </c>
      <c r="F33" s="161" t="n">
        <v>0.95</v>
      </c>
      <c r="G33" s="161" t="s">
        <v>915</v>
      </c>
    </row>
    <row r="34" customFormat="false" ht="12.75" hidden="false" customHeight="true" outlineLevel="0" collapsed="false">
      <c r="A34" s="158" t="n">
        <v>0.75</v>
      </c>
      <c r="B34" s="159" t="n">
        <v>0.91</v>
      </c>
      <c r="C34" s="159" t="n">
        <v>0.92</v>
      </c>
      <c r="D34" s="159" t="n">
        <v>0.93</v>
      </c>
      <c r="E34" s="159" t="n">
        <v>0.95</v>
      </c>
      <c r="F34" s="159" t="n">
        <v>0.96</v>
      </c>
      <c r="G34" s="159" t="s">
        <v>916</v>
      </c>
    </row>
    <row r="35" customFormat="false" ht="12.75" hidden="false" customHeight="true" outlineLevel="0" collapsed="false">
      <c r="A35" s="160" t="n">
        <v>0.8</v>
      </c>
      <c r="B35" s="161" t="n">
        <v>0.93</v>
      </c>
      <c r="C35" s="161" t="n">
        <v>0.94</v>
      </c>
      <c r="D35" s="161" t="n">
        <v>0.95</v>
      </c>
      <c r="E35" s="161" t="n">
        <v>0.96</v>
      </c>
      <c r="F35" s="161" t="n">
        <v>0.97</v>
      </c>
      <c r="G35" s="161" t="s">
        <v>917</v>
      </c>
    </row>
    <row r="36" customFormat="false" ht="12.75" hidden="false" customHeight="true" outlineLevel="0" collapsed="false">
      <c r="A36" s="158" t="n">
        <v>0.85</v>
      </c>
      <c r="B36" s="159" t="n">
        <v>0.95</v>
      </c>
      <c r="C36" s="159" t="n">
        <v>0.96</v>
      </c>
      <c r="D36" s="159" t="n">
        <v>0.96</v>
      </c>
      <c r="E36" s="159" t="n">
        <v>0.97</v>
      </c>
      <c r="F36" s="159" t="n">
        <v>0.98</v>
      </c>
      <c r="G36" s="159" t="s">
        <v>918</v>
      </c>
    </row>
    <row r="37" customFormat="false" ht="12.75" hidden="false" customHeight="true" outlineLevel="0" collapsed="false">
      <c r="A37" s="160" t="n">
        <v>0.9</v>
      </c>
      <c r="B37" s="161" t="n">
        <v>0.97</v>
      </c>
      <c r="C37" s="161" t="n">
        <v>0.97</v>
      </c>
      <c r="D37" s="161" t="n">
        <v>0.98</v>
      </c>
      <c r="E37" s="161" t="n">
        <v>0.98</v>
      </c>
      <c r="F37" s="161" t="n">
        <v>0.98</v>
      </c>
      <c r="G37" s="161" t="s">
        <v>919</v>
      </c>
    </row>
    <row r="38" customFormat="false" ht="12.75" hidden="false" customHeight="true" outlineLevel="0" collapsed="false">
      <c r="A38" s="158" t="n">
        <v>0.95</v>
      </c>
      <c r="B38" s="159" t="n">
        <v>0.98</v>
      </c>
      <c r="C38" s="159" t="n">
        <v>0.99</v>
      </c>
      <c r="D38" s="159" t="n">
        <v>0.99</v>
      </c>
      <c r="E38" s="159" t="n">
        <v>0.99</v>
      </c>
      <c r="F38" s="159" t="n">
        <v>0.99</v>
      </c>
      <c r="G38" s="159" t="s">
        <v>920</v>
      </c>
    </row>
    <row r="39" customFormat="false" ht="12.75" hidden="false" customHeight="true" outlineLevel="0" collapsed="false">
      <c r="A39" s="160" t="n">
        <v>1</v>
      </c>
      <c r="B39" s="161" t="n">
        <v>1</v>
      </c>
      <c r="C39" s="161" t="n">
        <v>1</v>
      </c>
      <c r="D39" s="161" t="n">
        <v>1</v>
      </c>
      <c r="E39" s="161" t="n">
        <v>1</v>
      </c>
      <c r="F39" s="161" t="n">
        <v>1</v>
      </c>
      <c r="G39" s="161" t="s">
        <v>921</v>
      </c>
    </row>
    <row r="40" customFormat="false" ht="12.75" hidden="false" customHeight="true" outlineLevel="0" collapsed="false">
      <c r="A40" s="158" t="n">
        <v>1.1</v>
      </c>
      <c r="B40" s="159" t="n">
        <v>1.03</v>
      </c>
      <c r="C40" s="159" t="n">
        <v>1.03</v>
      </c>
      <c r="D40" s="159" t="n">
        <v>1.02</v>
      </c>
      <c r="E40" s="159" t="n">
        <v>1.02</v>
      </c>
      <c r="F40" s="159" t="n">
        <v>1.01</v>
      </c>
      <c r="G40" s="159" t="s">
        <v>922</v>
      </c>
    </row>
    <row r="41" customFormat="false" ht="12.75" hidden="false" customHeight="true" outlineLevel="0" collapsed="false">
      <c r="A41" s="160" t="n">
        <v>1.2</v>
      </c>
      <c r="B41" s="161" t="n">
        <v>1.06</v>
      </c>
      <c r="C41" s="161" t="n">
        <v>1.05</v>
      </c>
      <c r="D41" s="161" t="n">
        <v>1.04</v>
      </c>
      <c r="E41" s="161" t="n">
        <v>1.04</v>
      </c>
      <c r="F41" s="161" t="n">
        <v>1.03</v>
      </c>
      <c r="G41" s="161" t="s">
        <v>923</v>
      </c>
    </row>
    <row r="42" customFormat="false" ht="12.75" hidden="false" customHeight="true" outlineLevel="0" collapsed="false">
      <c r="A42" s="158" t="n">
        <v>1.3</v>
      </c>
      <c r="B42" s="159" t="n">
        <v>1.09</v>
      </c>
      <c r="C42" s="159" t="n">
        <v>1.08</v>
      </c>
      <c r="D42" s="159" t="n">
        <v>1.06</v>
      </c>
      <c r="E42" s="159" t="n">
        <v>1.05</v>
      </c>
      <c r="F42" s="159" t="n">
        <v>1.04</v>
      </c>
      <c r="G42" s="159" t="s">
        <v>924</v>
      </c>
    </row>
    <row r="43" customFormat="false" ht="12.75" hidden="false" customHeight="true" outlineLevel="0" collapsed="false">
      <c r="A43" s="160" t="n">
        <v>1.4</v>
      </c>
      <c r="B43" s="161" t="n">
        <v>1.11</v>
      </c>
      <c r="C43" s="161" t="n">
        <v>1.1</v>
      </c>
      <c r="D43" s="161" t="n">
        <v>1.08</v>
      </c>
      <c r="E43" s="161" t="n">
        <v>1.07</v>
      </c>
      <c r="F43" s="161" t="n">
        <v>1.05</v>
      </c>
      <c r="G43" s="161" t="s">
        <v>925</v>
      </c>
    </row>
    <row r="44" customFormat="false" ht="12.75" hidden="false" customHeight="true" outlineLevel="0" collapsed="false">
      <c r="A44" s="158" t="n">
        <v>1.5</v>
      </c>
      <c r="B44" s="159" t="n">
        <v>1.14</v>
      </c>
      <c r="C44" s="159" t="n">
        <v>1.12</v>
      </c>
      <c r="D44" s="159" t="n">
        <v>1.1</v>
      </c>
      <c r="E44" s="159" t="n">
        <v>1.08</v>
      </c>
      <c r="F44" s="159" t="n">
        <v>1.06</v>
      </c>
      <c r="G44" s="159" t="s">
        <v>926</v>
      </c>
    </row>
    <row r="45" customFormat="false" ht="12.75" hidden="false" customHeight="true" outlineLevel="0" collapsed="false">
      <c r="A45" s="160" t="n">
        <v>1.6</v>
      </c>
      <c r="B45" s="161" t="n">
        <v>1.16</v>
      </c>
      <c r="C45" s="161" t="n">
        <v>1.14</v>
      </c>
      <c r="D45" s="161" t="n">
        <v>1.12</v>
      </c>
      <c r="E45" s="161" t="n">
        <v>1.09</v>
      </c>
      <c r="F45" s="161" t="n">
        <v>1.07</v>
      </c>
      <c r="G45" s="161" t="s">
        <v>927</v>
      </c>
    </row>
    <row r="46" customFormat="false" ht="12.75" hidden="false" customHeight="true" outlineLevel="0" collapsed="false">
      <c r="A46" s="158" t="n">
        <v>1.7</v>
      </c>
      <c r="B46" s="159" t="n">
        <v>1.19</v>
      </c>
      <c r="C46" s="159" t="n">
        <v>1.16</v>
      </c>
      <c r="D46" s="159" t="n">
        <v>1.13</v>
      </c>
      <c r="E46" s="159" t="n">
        <v>1.11</v>
      </c>
      <c r="F46" s="159" t="n">
        <v>1.08</v>
      </c>
      <c r="G46" s="159" t="s">
        <v>928</v>
      </c>
    </row>
    <row r="47" customFormat="false" ht="12.75" hidden="false" customHeight="true" outlineLevel="0" collapsed="false">
      <c r="A47" s="160" t="n">
        <v>1.8</v>
      </c>
      <c r="B47" s="161" t="n">
        <v>1.21</v>
      </c>
      <c r="C47" s="161" t="n">
        <v>1.18</v>
      </c>
      <c r="D47" s="161" t="n">
        <v>1.15</v>
      </c>
      <c r="E47" s="161" t="n">
        <v>1.12</v>
      </c>
      <c r="F47" s="161" t="n">
        <v>1.09</v>
      </c>
      <c r="G47" s="161" t="s">
        <v>929</v>
      </c>
    </row>
    <row r="48" customFormat="false" ht="12.75" hidden="false" customHeight="true" outlineLevel="0" collapsed="false">
      <c r="A48" s="158" t="n">
        <v>1.9</v>
      </c>
      <c r="B48" s="159" t="n">
        <v>1.23</v>
      </c>
      <c r="C48" s="159" t="n">
        <v>1.19</v>
      </c>
      <c r="D48" s="159" t="n">
        <v>1.16</v>
      </c>
      <c r="E48" s="159" t="n">
        <v>1.13</v>
      </c>
      <c r="F48" s="159" t="n">
        <v>1.1</v>
      </c>
      <c r="G48" s="159" t="s">
        <v>930</v>
      </c>
    </row>
    <row r="49" customFormat="false" ht="12.75" hidden="false" customHeight="true" outlineLevel="0" collapsed="false">
      <c r="A49" s="160" t="n">
        <v>2</v>
      </c>
      <c r="B49" s="161" t="n">
        <v>1.25</v>
      </c>
      <c r="C49" s="161" t="n">
        <v>1.21</v>
      </c>
      <c r="D49" s="161" t="n">
        <v>1.18</v>
      </c>
      <c r="E49" s="161" t="n">
        <v>1.14</v>
      </c>
      <c r="F49" s="161" t="n">
        <v>1.11</v>
      </c>
      <c r="G49" s="161" t="s">
        <v>931</v>
      </c>
    </row>
    <row r="50" customFormat="false" ht="12.75" hidden="false" customHeight="true" outlineLevel="0" collapsed="false">
      <c r="A50" s="158" t="n">
        <v>2.1</v>
      </c>
      <c r="B50" s="159" t="n">
        <v>1.27</v>
      </c>
      <c r="C50" s="159" t="n">
        <v>1.23</v>
      </c>
      <c r="D50" s="159" t="n">
        <v>1.19</v>
      </c>
      <c r="E50" s="159" t="n">
        <v>1.15</v>
      </c>
      <c r="F50" s="159" t="n">
        <v>1.12</v>
      </c>
      <c r="G50" s="159" t="s">
        <v>932</v>
      </c>
    </row>
    <row r="51" customFormat="false" ht="12.75" hidden="false" customHeight="true" outlineLevel="0" collapsed="false">
      <c r="A51" s="160" t="n">
        <v>2.2</v>
      </c>
      <c r="B51" s="161" t="n">
        <v>1.29</v>
      </c>
      <c r="C51" s="161" t="n">
        <v>1.24</v>
      </c>
      <c r="D51" s="161" t="n">
        <v>1.2</v>
      </c>
      <c r="E51" s="161" t="n">
        <v>1.16</v>
      </c>
      <c r="F51" s="161" t="n">
        <v>1.13</v>
      </c>
      <c r="G51" s="161" t="s">
        <v>933</v>
      </c>
    </row>
    <row r="52" customFormat="false" ht="12.75" hidden="false" customHeight="true" outlineLevel="0" collapsed="false">
      <c r="A52" s="158" t="n">
        <v>2.3</v>
      </c>
      <c r="B52" s="159" t="n">
        <v>1.31</v>
      </c>
      <c r="C52" s="159" t="n">
        <v>1.26</v>
      </c>
      <c r="D52" s="159" t="n">
        <v>1.22</v>
      </c>
      <c r="E52" s="159" t="n">
        <v>1.17</v>
      </c>
      <c r="F52" s="159" t="n">
        <v>1.13</v>
      </c>
      <c r="G52" s="159" t="s">
        <v>934</v>
      </c>
    </row>
    <row r="53" customFormat="false" ht="12.75" hidden="false" customHeight="true" outlineLevel="0" collapsed="false">
      <c r="A53" s="160" t="n">
        <v>2.4</v>
      </c>
      <c r="B53" s="161" t="n">
        <v>1.33</v>
      </c>
      <c r="C53" s="161" t="n">
        <v>1.28</v>
      </c>
      <c r="D53" s="161" t="n">
        <v>1.23</v>
      </c>
      <c r="E53" s="161" t="n">
        <v>1.18</v>
      </c>
      <c r="F53" s="161" t="n">
        <v>1.14</v>
      </c>
      <c r="G53" s="161" t="s">
        <v>935</v>
      </c>
    </row>
    <row r="54" customFormat="false" ht="12.75" hidden="false" customHeight="true" outlineLevel="0" collapsed="false">
      <c r="A54" s="158" t="n">
        <v>2.5</v>
      </c>
      <c r="B54" s="159" t="n">
        <v>1.34</v>
      </c>
      <c r="C54" s="159" t="n">
        <v>1.29</v>
      </c>
      <c r="D54" s="159" t="n">
        <v>1.24</v>
      </c>
      <c r="E54" s="159" t="n">
        <v>1.19</v>
      </c>
      <c r="F54" s="159" t="n">
        <v>1.15</v>
      </c>
      <c r="G54" s="159" t="s">
        <v>936</v>
      </c>
    </row>
    <row r="55" customFormat="false" ht="12.75" hidden="false" customHeight="true" outlineLevel="0" collapsed="false">
      <c r="A55" s="160" t="n">
        <v>2.6</v>
      </c>
      <c r="B55" s="161" t="n">
        <v>1.36</v>
      </c>
      <c r="C55" s="161" t="n">
        <v>1.3</v>
      </c>
      <c r="D55" s="161" t="n">
        <v>1.25</v>
      </c>
      <c r="E55" s="161" t="n">
        <v>1.2</v>
      </c>
      <c r="F55" s="161" t="n">
        <v>1.16</v>
      </c>
      <c r="G55" s="161" t="s">
        <v>937</v>
      </c>
    </row>
    <row r="56" customFormat="false" ht="12.75" hidden="false" customHeight="true" outlineLevel="0" collapsed="false">
      <c r="A56" s="158" t="n">
        <v>2.7</v>
      </c>
      <c r="B56" s="159" t="n">
        <v>1.38</v>
      </c>
      <c r="C56" s="159" t="n">
        <v>1.32</v>
      </c>
      <c r="D56" s="159" t="n">
        <v>1.26</v>
      </c>
      <c r="E56" s="159" t="n">
        <v>1.21</v>
      </c>
      <c r="F56" s="159" t="n">
        <v>1.16</v>
      </c>
      <c r="G56" s="159" t="s">
        <v>938</v>
      </c>
    </row>
    <row r="57" customFormat="false" ht="12.75" hidden="false" customHeight="true" outlineLevel="0" collapsed="false">
      <c r="A57" s="160" t="n">
        <v>2.8</v>
      </c>
      <c r="B57" s="161" t="n">
        <v>1.39</v>
      </c>
      <c r="C57" s="161" t="n">
        <v>1.33</v>
      </c>
      <c r="D57" s="161" t="n">
        <v>1.27</v>
      </c>
      <c r="E57" s="161" t="n">
        <v>1.22</v>
      </c>
      <c r="F57" s="161" t="n">
        <v>1.17</v>
      </c>
      <c r="G57" s="161" t="s">
        <v>939</v>
      </c>
    </row>
    <row r="58" customFormat="false" ht="12.75" hidden="false" customHeight="true" outlineLevel="0" collapsed="false">
      <c r="A58" s="158" t="n">
        <v>2.9</v>
      </c>
      <c r="B58" s="159" t="n">
        <v>1.41</v>
      </c>
      <c r="C58" s="159" t="n">
        <v>1.34</v>
      </c>
      <c r="D58" s="159" t="n">
        <v>1.28</v>
      </c>
      <c r="E58" s="159" t="n">
        <v>1.23</v>
      </c>
      <c r="F58" s="159" t="n">
        <v>1.18</v>
      </c>
      <c r="G58" s="159" t="s">
        <v>940</v>
      </c>
    </row>
    <row r="59" customFormat="false" ht="12.75" hidden="false" customHeight="true" outlineLevel="0" collapsed="false">
      <c r="A59" s="160" t="n">
        <v>3</v>
      </c>
      <c r="B59" s="161" t="n">
        <v>1.42</v>
      </c>
      <c r="C59" s="161" t="n">
        <v>1.36</v>
      </c>
      <c r="D59" s="161" t="n">
        <v>1.29</v>
      </c>
      <c r="E59" s="161" t="n">
        <v>1.24</v>
      </c>
      <c r="F59" s="161" t="n">
        <v>1.18</v>
      </c>
      <c r="G59" s="161" t="s">
        <v>941</v>
      </c>
    </row>
    <row r="60" customFormat="false" ht="12.75" hidden="false" customHeight="true" outlineLevel="0" collapsed="false">
      <c r="A60" s="158" t="n">
        <v>3.1</v>
      </c>
      <c r="B60" s="159" t="n">
        <v>1.44</v>
      </c>
      <c r="C60" s="159" t="n">
        <v>1.37</v>
      </c>
      <c r="D60" s="159" t="n">
        <v>1.3</v>
      </c>
      <c r="E60" s="159" t="n">
        <v>1.24</v>
      </c>
      <c r="F60" s="159" t="n">
        <v>1.19</v>
      </c>
      <c r="G60" s="159" t="s">
        <v>942</v>
      </c>
    </row>
    <row r="61" customFormat="false" ht="12.75" hidden="false" customHeight="true" outlineLevel="0" collapsed="false">
      <c r="A61" s="160" t="n">
        <v>3.2</v>
      </c>
      <c r="B61" s="161" t="n">
        <v>1.45</v>
      </c>
      <c r="C61" s="161" t="n">
        <v>1.38</v>
      </c>
      <c r="D61" s="161" t="n">
        <v>1.31</v>
      </c>
      <c r="E61" s="161" t="n">
        <v>1.25</v>
      </c>
      <c r="F61" s="161" t="n">
        <v>1.19</v>
      </c>
      <c r="G61" s="161" t="s">
        <v>943</v>
      </c>
    </row>
    <row r="62" customFormat="false" ht="12.75" hidden="false" customHeight="true" outlineLevel="0" collapsed="false">
      <c r="A62" s="158" t="n">
        <v>3.3</v>
      </c>
      <c r="B62" s="159" t="n">
        <v>1.47</v>
      </c>
      <c r="C62" s="159" t="n">
        <v>1.39</v>
      </c>
      <c r="D62" s="159" t="n">
        <v>1.32</v>
      </c>
      <c r="E62" s="159" t="n">
        <v>1.26</v>
      </c>
      <c r="F62" s="159" t="n">
        <v>1.2</v>
      </c>
      <c r="G62" s="159" t="s">
        <v>944</v>
      </c>
    </row>
    <row r="63" customFormat="false" ht="12.75" hidden="false" customHeight="true" outlineLevel="0" collapsed="false">
      <c r="A63" s="160" t="n">
        <v>3.4</v>
      </c>
      <c r="B63" s="161" t="n">
        <v>1.48</v>
      </c>
      <c r="C63" s="161" t="n">
        <v>1.4</v>
      </c>
      <c r="D63" s="161" t="n">
        <v>1.33</v>
      </c>
      <c r="E63" s="161" t="n">
        <v>1.27</v>
      </c>
      <c r="F63" s="161" t="n">
        <v>1.2</v>
      </c>
      <c r="G63" s="161" t="s">
        <v>945</v>
      </c>
    </row>
    <row r="64" customFormat="false" ht="12.75" hidden="false" customHeight="true" outlineLevel="0" collapsed="false">
      <c r="A64" s="158" t="n">
        <v>3.5</v>
      </c>
      <c r="B64" s="159" t="n">
        <v>1.5</v>
      </c>
      <c r="C64" s="159" t="n">
        <v>1.42</v>
      </c>
      <c r="D64" s="159" t="n">
        <v>1.34</v>
      </c>
      <c r="E64" s="159" t="n">
        <v>1.27</v>
      </c>
      <c r="F64" s="159" t="n">
        <v>1.21</v>
      </c>
      <c r="G64" s="159" t="s">
        <v>946</v>
      </c>
    </row>
    <row r="65" customFormat="false" ht="12.75" hidden="false" customHeight="true" outlineLevel="0" collapsed="false">
      <c r="A65" s="160" t="n">
        <v>3.6</v>
      </c>
      <c r="B65" s="161" t="n">
        <v>1.51</v>
      </c>
      <c r="C65" s="161" t="n">
        <v>1.43</v>
      </c>
      <c r="D65" s="161" t="n">
        <v>1.35</v>
      </c>
      <c r="E65" s="161" t="n">
        <v>1.28</v>
      </c>
      <c r="F65" s="161" t="n">
        <v>1.21</v>
      </c>
      <c r="G65" s="161" t="s">
        <v>947</v>
      </c>
    </row>
    <row r="66" customFormat="false" ht="12.75" hidden="false" customHeight="true" outlineLevel="0" collapsed="false">
      <c r="A66" s="158" t="n">
        <v>3.7</v>
      </c>
      <c r="B66" s="159" t="n">
        <v>1.52</v>
      </c>
      <c r="C66" s="159" t="n">
        <v>1.44</v>
      </c>
      <c r="D66" s="159" t="n">
        <v>1.36</v>
      </c>
      <c r="E66" s="159" t="n">
        <v>1.29</v>
      </c>
      <c r="F66" s="159" t="n">
        <v>1.22</v>
      </c>
      <c r="G66" s="159" t="s">
        <v>948</v>
      </c>
    </row>
    <row r="67" customFormat="false" ht="12.75" hidden="false" customHeight="true" outlineLevel="0" collapsed="false">
      <c r="A67" s="160" t="n">
        <v>3.8</v>
      </c>
      <c r="B67" s="161" t="n">
        <v>1.54</v>
      </c>
      <c r="C67" s="161" t="n">
        <v>1.45</v>
      </c>
      <c r="D67" s="161" t="n">
        <v>1.37</v>
      </c>
      <c r="E67" s="161" t="n">
        <v>1.29</v>
      </c>
      <c r="F67" s="161" t="n">
        <v>1.22</v>
      </c>
      <c r="G67" s="161" t="s">
        <v>949</v>
      </c>
    </row>
    <row r="68" customFormat="false" ht="12.75" hidden="false" customHeight="true" outlineLevel="0" collapsed="false">
      <c r="A68" s="158" t="n">
        <v>3.9</v>
      </c>
      <c r="B68" s="159" t="n">
        <v>1.55</v>
      </c>
      <c r="C68" s="159" t="n">
        <v>1.46</v>
      </c>
      <c r="D68" s="159" t="n">
        <v>1.38</v>
      </c>
      <c r="E68" s="159" t="n">
        <v>1.3</v>
      </c>
      <c r="F68" s="159" t="n">
        <v>1.23</v>
      </c>
      <c r="G68" s="159" t="s">
        <v>950</v>
      </c>
    </row>
    <row r="69" customFormat="false" ht="12.75" hidden="false" customHeight="true" outlineLevel="0" collapsed="false">
      <c r="A69" s="160" t="n">
        <v>4</v>
      </c>
      <c r="B69" s="161" t="n">
        <v>1.56</v>
      </c>
      <c r="C69" s="161" t="n">
        <v>1.47</v>
      </c>
      <c r="D69" s="161" t="n">
        <v>1.39</v>
      </c>
      <c r="E69" s="161" t="n">
        <v>1.31</v>
      </c>
      <c r="F69" s="161" t="n">
        <v>1.23</v>
      </c>
      <c r="G69" s="161" t="s">
        <v>951</v>
      </c>
    </row>
    <row r="70" customFormat="false" ht="12.75" hidden="false" customHeight="true" outlineLevel="0" collapsed="false">
      <c r="A70" s="158" t="n">
        <v>4.1</v>
      </c>
      <c r="B70" s="159" t="n">
        <v>1.58</v>
      </c>
      <c r="C70" s="159" t="n">
        <v>1.48</v>
      </c>
      <c r="D70" s="159" t="n">
        <v>1.39</v>
      </c>
      <c r="E70" s="159" t="n">
        <v>1.31</v>
      </c>
      <c r="F70" s="159" t="n">
        <v>1.24</v>
      </c>
      <c r="G70" s="159" t="s">
        <v>951</v>
      </c>
    </row>
    <row r="71" customFormat="false" ht="12.75" hidden="false" customHeight="true" outlineLevel="0" collapsed="false">
      <c r="A71" s="160" t="n">
        <v>4.2</v>
      </c>
      <c r="B71" s="161" t="n">
        <v>1.59</v>
      </c>
      <c r="C71" s="161" t="n">
        <v>1.49</v>
      </c>
      <c r="D71" s="161" t="n">
        <v>1.4</v>
      </c>
      <c r="E71" s="161" t="n">
        <v>1.32</v>
      </c>
      <c r="F71" s="161" t="n">
        <v>1.24</v>
      </c>
      <c r="G71" s="161" t="s">
        <v>952</v>
      </c>
    </row>
    <row r="72" customFormat="false" ht="12.75" hidden="false" customHeight="true" outlineLevel="0" collapsed="false">
      <c r="A72" s="158" t="n">
        <v>4.3</v>
      </c>
      <c r="B72" s="159" t="n">
        <v>1.6</v>
      </c>
      <c r="C72" s="159" t="n">
        <v>1.5</v>
      </c>
      <c r="D72" s="159" t="n">
        <v>1.41</v>
      </c>
      <c r="E72" s="159" t="n">
        <v>1.32</v>
      </c>
      <c r="F72" s="159" t="n">
        <v>1.25</v>
      </c>
      <c r="G72" s="159" t="s">
        <v>953</v>
      </c>
    </row>
    <row r="73" customFormat="false" ht="12.75" hidden="false" customHeight="true" outlineLevel="0" collapsed="false">
      <c r="A73" s="160" t="n">
        <v>4.4</v>
      </c>
      <c r="B73" s="161" t="n">
        <v>1.61</v>
      </c>
      <c r="C73" s="161" t="n">
        <v>1.51</v>
      </c>
      <c r="D73" s="161" t="n">
        <v>1.42</v>
      </c>
      <c r="E73" s="161" t="n">
        <v>1.33</v>
      </c>
      <c r="F73" s="161" t="n">
        <v>1.25</v>
      </c>
      <c r="G73" s="161" t="s">
        <v>954</v>
      </c>
    </row>
    <row r="74" customFormat="false" ht="12.75" hidden="false" customHeight="true" outlineLevel="0" collapsed="false">
      <c r="A74" s="158" t="n">
        <v>4.5</v>
      </c>
      <c r="B74" s="159" t="n">
        <v>1.62</v>
      </c>
      <c r="C74" s="159" t="n">
        <v>1.52</v>
      </c>
      <c r="D74" s="159" t="n">
        <v>1.42</v>
      </c>
      <c r="E74" s="159" t="n">
        <v>1.34</v>
      </c>
      <c r="F74" s="159" t="n">
        <v>1.26</v>
      </c>
      <c r="G74" s="159" t="s">
        <v>954</v>
      </c>
    </row>
    <row r="75" customFormat="false" ht="12.75" hidden="false" customHeight="true" outlineLevel="0" collapsed="false">
      <c r="A75" s="160" t="n">
        <v>4.6</v>
      </c>
      <c r="B75" s="161" t="n">
        <v>1.63</v>
      </c>
      <c r="C75" s="161" t="n">
        <v>1.53</v>
      </c>
      <c r="D75" s="161" t="n">
        <v>1.43</v>
      </c>
      <c r="E75" s="161" t="n">
        <v>1.34</v>
      </c>
      <c r="F75" s="161" t="n">
        <v>1.26</v>
      </c>
      <c r="G75" s="161" t="s">
        <v>955</v>
      </c>
    </row>
    <row r="76" customFormat="false" ht="12.75" hidden="false" customHeight="true" outlineLevel="0" collapsed="false">
      <c r="A76" s="158" t="n">
        <v>4.7</v>
      </c>
      <c r="B76" s="159" t="n">
        <v>1.65</v>
      </c>
      <c r="C76" s="159" t="n">
        <v>1.54</v>
      </c>
      <c r="D76" s="159" t="n">
        <v>1.44</v>
      </c>
      <c r="E76" s="159" t="n">
        <v>1.35</v>
      </c>
      <c r="F76" s="159" t="n">
        <v>1.27</v>
      </c>
      <c r="G76" s="159" t="s">
        <v>956</v>
      </c>
    </row>
    <row r="77" customFormat="false" ht="12.75" hidden="false" customHeight="true" outlineLevel="0" collapsed="false">
      <c r="A77" s="160" t="n">
        <v>4.8</v>
      </c>
      <c r="B77" s="161" t="n">
        <v>1.66</v>
      </c>
      <c r="C77" s="161" t="n">
        <v>1.55</v>
      </c>
      <c r="D77" s="161" t="n">
        <v>1.45</v>
      </c>
      <c r="E77" s="161" t="n">
        <v>1.35</v>
      </c>
      <c r="F77" s="161" t="n">
        <v>1.27</v>
      </c>
      <c r="G77" s="161" t="s">
        <v>957</v>
      </c>
    </row>
    <row r="78" customFormat="false" ht="12.75" hidden="false" customHeight="true" outlineLevel="0" collapsed="false">
      <c r="A78" s="158" t="n">
        <v>4.9</v>
      </c>
      <c r="B78" s="159" t="n">
        <v>1.67</v>
      </c>
      <c r="C78" s="159" t="n">
        <v>1.55</v>
      </c>
      <c r="D78" s="159" t="n">
        <v>1.45</v>
      </c>
      <c r="E78" s="159" t="n">
        <v>1.36</v>
      </c>
      <c r="F78" s="159" t="n">
        <v>1.27</v>
      </c>
      <c r="G78" s="159" t="s">
        <v>957</v>
      </c>
    </row>
    <row r="79" customFormat="false" ht="12.75" hidden="false" customHeight="true" outlineLevel="0" collapsed="false">
      <c r="A79" s="160" t="n">
        <v>5</v>
      </c>
      <c r="B79" s="161" t="n">
        <v>1.68</v>
      </c>
      <c r="C79" s="161" t="n">
        <v>1.56</v>
      </c>
      <c r="D79" s="161" t="n">
        <v>1.46</v>
      </c>
      <c r="E79" s="161" t="n">
        <v>1.36</v>
      </c>
      <c r="F79" s="161" t="n">
        <v>1.28</v>
      </c>
      <c r="G79" s="161" t="s">
        <v>958</v>
      </c>
    </row>
    <row r="80" customFormat="false" ht="12.75" hidden="false" customHeight="true" outlineLevel="0" collapsed="false">
      <c r="A80" s="158" t="n">
        <v>5.5</v>
      </c>
      <c r="B80" s="159" t="n">
        <v>1.73</v>
      </c>
      <c r="C80" s="159" t="n">
        <v>1.61</v>
      </c>
      <c r="D80" s="159" t="n">
        <v>1.49</v>
      </c>
      <c r="E80" s="159" t="n">
        <v>1.39</v>
      </c>
      <c r="F80" s="159" t="n">
        <v>1.3</v>
      </c>
      <c r="G80" s="159" t="s">
        <v>959</v>
      </c>
    </row>
    <row r="81" customFormat="false" ht="12.75" hidden="false" customHeight="true" outlineLevel="0" collapsed="false">
      <c r="A81" s="160" t="n">
        <v>6</v>
      </c>
      <c r="B81" s="161" t="n">
        <v>1.78</v>
      </c>
      <c r="C81" s="161" t="n">
        <v>1.64</v>
      </c>
      <c r="D81" s="161" t="n">
        <v>1.52</v>
      </c>
      <c r="E81" s="161" t="n">
        <v>1.41</v>
      </c>
      <c r="F81" s="161" t="n">
        <v>1.31</v>
      </c>
      <c r="G81" s="161" t="s">
        <v>960</v>
      </c>
    </row>
    <row r="82" customFormat="false" ht="12.75" hidden="false" customHeight="true" outlineLevel="0" collapsed="false">
      <c r="A82" s="158" t="n">
        <v>6.5</v>
      </c>
      <c r="B82" s="159" t="n">
        <v>1.83</v>
      </c>
      <c r="C82" s="159" t="n">
        <v>1.68</v>
      </c>
      <c r="D82" s="159" t="n">
        <v>1.55</v>
      </c>
      <c r="E82" s="159" t="n">
        <v>1.43</v>
      </c>
      <c r="F82" s="159" t="n">
        <v>1.33</v>
      </c>
      <c r="G82" s="159" t="s">
        <v>961</v>
      </c>
    </row>
    <row r="83" customFormat="false" ht="12.75" hidden="false" customHeight="true" outlineLevel="0" collapsed="false">
      <c r="A83" s="160" t="n">
        <v>7</v>
      </c>
      <c r="B83" s="161" t="n">
        <v>1.87</v>
      </c>
      <c r="C83" s="161" t="n">
        <v>1.72</v>
      </c>
      <c r="D83" s="161" t="n">
        <v>1.58</v>
      </c>
      <c r="E83" s="161" t="n">
        <v>1.45</v>
      </c>
      <c r="F83" s="161" t="n">
        <v>1.34</v>
      </c>
      <c r="G83" s="161" t="s">
        <v>962</v>
      </c>
    </row>
    <row r="84" customFormat="false" ht="12.75" hidden="false" customHeight="true" outlineLevel="0" collapsed="false">
      <c r="A84" s="158" t="n">
        <v>7.5</v>
      </c>
      <c r="B84" s="159" t="n">
        <v>1.91</v>
      </c>
      <c r="C84" s="159" t="n">
        <v>1.75</v>
      </c>
      <c r="D84" s="159" t="n">
        <v>1.61</v>
      </c>
      <c r="E84" s="159" t="n">
        <v>1.47</v>
      </c>
      <c r="F84" s="159" t="n">
        <v>1.36</v>
      </c>
      <c r="G84" s="159" t="s">
        <v>963</v>
      </c>
    </row>
    <row r="85" customFormat="false" ht="12.75" hidden="false" customHeight="true" outlineLevel="0" collapsed="false">
      <c r="A85" s="160" t="n">
        <v>8</v>
      </c>
      <c r="B85" s="161" t="n">
        <v>1.95</v>
      </c>
      <c r="C85" s="161" t="n">
        <v>1.78</v>
      </c>
      <c r="D85" s="161" t="n">
        <v>1.63</v>
      </c>
      <c r="E85" s="161" t="n">
        <v>1.49</v>
      </c>
      <c r="F85" s="161" t="n">
        <v>1.37</v>
      </c>
      <c r="G85" s="161" t="s">
        <v>964</v>
      </c>
    </row>
    <row r="86" customFormat="false" ht="12.75" hidden="false" customHeight="true" outlineLevel="0" collapsed="false">
      <c r="A86" s="158" t="n">
        <v>8.5</v>
      </c>
      <c r="B86" s="159" t="n">
        <v>1.99</v>
      </c>
      <c r="C86" s="159" t="n">
        <v>1.81</v>
      </c>
      <c r="D86" s="159" t="n">
        <v>1.65</v>
      </c>
      <c r="E86" s="159" t="n">
        <v>1.51</v>
      </c>
      <c r="F86" s="159" t="n">
        <v>1.38</v>
      </c>
      <c r="G86" s="159" t="s">
        <v>965</v>
      </c>
    </row>
    <row r="87" customFormat="false" ht="12.75" hidden="false" customHeight="true" outlineLevel="0" collapsed="false">
      <c r="A87" s="160" t="n">
        <v>9</v>
      </c>
      <c r="B87" s="161" t="n">
        <v>2.03</v>
      </c>
      <c r="C87" s="161" t="n">
        <v>1.84</v>
      </c>
      <c r="D87" s="161" t="n">
        <v>1.68</v>
      </c>
      <c r="E87" s="161" t="n">
        <v>1.53</v>
      </c>
      <c r="F87" s="161" t="n">
        <v>1.4</v>
      </c>
      <c r="G87" s="161" t="s">
        <v>966</v>
      </c>
    </row>
    <row r="88" customFormat="false" ht="12.75" hidden="false" customHeight="true" outlineLevel="0" collapsed="false">
      <c r="A88" s="158" t="n">
        <v>9.5</v>
      </c>
      <c r="B88" s="159" t="n">
        <v>2.06</v>
      </c>
      <c r="C88" s="159" t="n">
        <v>1.87</v>
      </c>
      <c r="D88" s="159" t="n">
        <v>1.7</v>
      </c>
      <c r="E88" s="159" t="n">
        <v>1.54</v>
      </c>
      <c r="F88" s="159" t="n">
        <v>1.41</v>
      </c>
      <c r="G88" s="159" t="s">
        <v>967</v>
      </c>
    </row>
    <row r="89" customFormat="false" ht="12.75" hidden="false" customHeight="true" outlineLevel="0" collapsed="false">
      <c r="A89" s="160" t="n">
        <v>10</v>
      </c>
      <c r="B89" s="161" t="n">
        <v>2.1</v>
      </c>
      <c r="C89" s="161" t="n">
        <v>1.89</v>
      </c>
      <c r="D89" s="161" t="n">
        <v>1.72</v>
      </c>
      <c r="E89" s="161" t="n">
        <v>1.56</v>
      </c>
      <c r="F89" s="161" t="n">
        <v>1.42</v>
      </c>
      <c r="G89" s="161" t="s">
        <v>968</v>
      </c>
    </row>
    <row r="90" customFormat="false" ht="12.75" hidden="false" customHeight="true" outlineLevel="0" collapsed="false">
      <c r="A90" s="158" t="n">
        <v>11</v>
      </c>
      <c r="B90" s="159" t="n">
        <v>2.16</v>
      </c>
      <c r="C90" s="159" t="n">
        <v>1.95</v>
      </c>
      <c r="D90" s="159" t="n">
        <v>1.76</v>
      </c>
      <c r="E90" s="159" t="n">
        <v>1.59</v>
      </c>
      <c r="F90" s="159" t="n">
        <v>1.44</v>
      </c>
      <c r="G90" s="159" t="s">
        <v>969</v>
      </c>
    </row>
    <row r="91" customFormat="false" ht="12.75" hidden="false" customHeight="true" outlineLevel="0" collapsed="false">
      <c r="A91" s="160" t="n">
        <v>12</v>
      </c>
      <c r="B91" s="161" t="n">
        <v>2.23</v>
      </c>
      <c r="C91" s="161" t="n">
        <v>1.99</v>
      </c>
      <c r="D91" s="161" t="n">
        <v>1.79</v>
      </c>
      <c r="E91" s="161" t="n">
        <v>1.61</v>
      </c>
      <c r="F91" s="161" t="n">
        <v>1.46</v>
      </c>
      <c r="G91" s="161" t="s">
        <v>970</v>
      </c>
    </row>
    <row r="92" customFormat="false" ht="12.75" hidden="false" customHeight="true" outlineLevel="0" collapsed="false">
      <c r="A92" s="158" t="n">
        <v>13</v>
      </c>
      <c r="B92" s="159" t="n">
        <v>2.28</v>
      </c>
      <c r="C92" s="159" t="n">
        <v>2.04</v>
      </c>
      <c r="D92" s="159" t="n">
        <v>1.83</v>
      </c>
      <c r="E92" s="159" t="n">
        <v>1.64</v>
      </c>
      <c r="F92" s="159" t="n">
        <v>1.48</v>
      </c>
      <c r="G92" s="159" t="s">
        <v>971</v>
      </c>
    </row>
    <row r="93" customFormat="false" ht="12.75" hidden="false" customHeight="true" outlineLevel="0" collapsed="false">
      <c r="A93" s="160" t="n">
        <v>14</v>
      </c>
      <c r="B93" s="161" t="n">
        <v>2.34</v>
      </c>
      <c r="C93" s="161" t="n">
        <v>2.08</v>
      </c>
      <c r="D93" s="161" t="n">
        <v>1.86</v>
      </c>
      <c r="E93" s="161" t="n">
        <v>1.66</v>
      </c>
      <c r="F93" s="161" t="n">
        <v>1.49</v>
      </c>
      <c r="G93" s="161" t="s">
        <v>972</v>
      </c>
    </row>
    <row r="94" customFormat="false" ht="12.75" hidden="false" customHeight="true" outlineLevel="0" collapsed="false">
      <c r="A94" s="158" t="n">
        <v>15</v>
      </c>
      <c r="B94" s="159" t="n">
        <v>2.39</v>
      </c>
      <c r="C94" s="159" t="n">
        <v>2.12</v>
      </c>
      <c r="D94" s="159" t="n">
        <v>1.89</v>
      </c>
      <c r="E94" s="159" t="n">
        <v>1.68</v>
      </c>
      <c r="F94" s="159" t="n">
        <v>1.51</v>
      </c>
      <c r="G94" s="159" t="s">
        <v>973</v>
      </c>
    </row>
    <row r="95" customFormat="false" ht="12.75" hidden="false" customHeight="true" outlineLevel="0" collapsed="false">
      <c r="A95" s="160" t="n">
        <v>16</v>
      </c>
      <c r="B95" s="161" t="n">
        <v>2.44</v>
      </c>
      <c r="C95" s="161" t="n">
        <v>2.16</v>
      </c>
      <c r="D95" s="161" t="n">
        <v>1.92</v>
      </c>
      <c r="E95" s="161" t="n">
        <v>1.71</v>
      </c>
      <c r="F95" s="161" t="n">
        <v>1.52</v>
      </c>
      <c r="G95" s="161" t="s">
        <v>974</v>
      </c>
    </row>
    <row r="96" customFormat="false" ht="12.75" hidden="false" customHeight="true" outlineLevel="0" collapsed="false">
      <c r="A96" s="158" t="n">
        <v>17</v>
      </c>
      <c r="B96" s="159" t="n">
        <v>2.49</v>
      </c>
      <c r="C96" s="159" t="n">
        <v>2.2</v>
      </c>
      <c r="D96" s="159" t="n">
        <v>1.95</v>
      </c>
      <c r="E96" s="159" t="n">
        <v>1.73</v>
      </c>
      <c r="F96" s="159" t="n">
        <v>1.54</v>
      </c>
      <c r="G96" s="159" t="s">
        <v>975</v>
      </c>
    </row>
    <row r="97" customFormat="false" ht="12.75" hidden="false" customHeight="true" outlineLevel="0" collapsed="false">
      <c r="A97" s="160" t="n">
        <v>18</v>
      </c>
      <c r="B97" s="161" t="n">
        <v>2.54</v>
      </c>
      <c r="C97" s="161" t="n">
        <v>2.23</v>
      </c>
      <c r="D97" s="161" t="n">
        <v>1.97</v>
      </c>
      <c r="E97" s="161" t="n">
        <v>1.75</v>
      </c>
      <c r="F97" s="161" t="n">
        <v>1.55</v>
      </c>
      <c r="G97" s="161" t="s">
        <v>976</v>
      </c>
    </row>
    <row r="98" customFormat="false" ht="12.75" hidden="false" customHeight="true" outlineLevel="0" collapsed="false">
      <c r="A98" s="158" t="n">
        <v>19</v>
      </c>
      <c r="B98" s="159" t="n">
        <v>2.58</v>
      </c>
      <c r="C98" s="159" t="n">
        <v>2.26</v>
      </c>
      <c r="D98" s="159" t="n">
        <v>2</v>
      </c>
      <c r="E98" s="159" t="n">
        <v>1.76</v>
      </c>
      <c r="F98" s="159" t="n">
        <v>1.56</v>
      </c>
      <c r="G98" s="159" t="s">
        <v>977</v>
      </c>
    </row>
    <row r="99" customFormat="false" ht="12.75" hidden="false" customHeight="true" outlineLevel="0" collapsed="false">
      <c r="A99" s="160" t="n">
        <v>20</v>
      </c>
      <c r="B99" s="161" t="n">
        <v>2.62</v>
      </c>
      <c r="C99" s="161" t="n">
        <v>2.3</v>
      </c>
      <c r="D99" s="161" t="n">
        <v>2.02</v>
      </c>
      <c r="E99" s="161" t="n">
        <v>1.78</v>
      </c>
      <c r="F99" s="161" t="n">
        <v>1.58</v>
      </c>
      <c r="G99" s="161" t="s">
        <v>978</v>
      </c>
    </row>
    <row r="100" customFormat="false" ht="12.75" hidden="false" customHeight="true" outlineLevel="0" collapsed="false">
      <c r="A100" s="158" t="n">
        <v>25</v>
      </c>
      <c r="B100" s="159" t="n">
        <v>2.82</v>
      </c>
      <c r="C100" s="159" t="n">
        <v>2.44</v>
      </c>
      <c r="D100" s="159" t="n">
        <v>2.13</v>
      </c>
      <c r="E100" s="159" t="n">
        <v>1.86</v>
      </c>
      <c r="F100" s="159" t="n">
        <v>1.63</v>
      </c>
      <c r="G100" s="159" t="s">
        <v>979</v>
      </c>
    </row>
    <row r="101" customFormat="false" ht="12.75" hidden="false" customHeight="true" outlineLevel="0" collapsed="false">
      <c r="A101" s="160" t="n">
        <v>30</v>
      </c>
      <c r="B101" s="161" t="n">
        <v>2.99</v>
      </c>
      <c r="C101" s="161" t="n">
        <v>2.57</v>
      </c>
      <c r="D101" s="161" t="n">
        <v>2.22</v>
      </c>
      <c r="E101" s="161" t="n">
        <v>1.93</v>
      </c>
      <c r="F101" s="161" t="n">
        <v>1.68</v>
      </c>
      <c r="G101" s="161" t="s">
        <v>980</v>
      </c>
    </row>
    <row r="102" customFormat="false" ht="12.75" hidden="false" customHeight="true" outlineLevel="0" collapsed="false">
      <c r="A102" s="158" t="n">
        <v>35</v>
      </c>
      <c r="B102" s="159" t="n">
        <v>3.14</v>
      </c>
      <c r="C102" s="159" t="n">
        <v>2.68</v>
      </c>
      <c r="D102" s="159" t="n">
        <v>2.31</v>
      </c>
      <c r="E102" s="159" t="n">
        <v>1.98</v>
      </c>
      <c r="F102" s="159" t="n">
        <v>1.72</v>
      </c>
      <c r="G102" s="159" t="s">
        <v>981</v>
      </c>
    </row>
    <row r="103" customFormat="false" ht="12.75" hidden="false" customHeight="true" outlineLevel="0" collapsed="false">
      <c r="A103" s="160" t="n">
        <v>40</v>
      </c>
      <c r="B103" s="161" t="n">
        <v>3.28</v>
      </c>
      <c r="C103" s="161" t="n">
        <v>2.78</v>
      </c>
      <c r="D103" s="161" t="n">
        <v>2.38</v>
      </c>
      <c r="E103" s="161" t="n">
        <v>2.04</v>
      </c>
      <c r="F103" s="161" t="n">
        <v>1.75</v>
      </c>
      <c r="G103" s="161" t="s">
        <v>982</v>
      </c>
    </row>
    <row r="104" customFormat="false" ht="12.75" hidden="false" customHeight="true" outlineLevel="0" collapsed="false">
      <c r="A104" s="158" t="n">
        <v>45</v>
      </c>
      <c r="B104" s="159" t="n">
        <v>3.41</v>
      </c>
      <c r="C104" s="159" t="n">
        <v>2.88</v>
      </c>
      <c r="D104" s="159" t="n">
        <v>2.45</v>
      </c>
      <c r="E104" s="159" t="n">
        <v>2.08</v>
      </c>
      <c r="F104" s="159" t="n">
        <v>1.78</v>
      </c>
      <c r="G104" s="159" t="s">
        <v>983</v>
      </c>
    </row>
    <row r="105" customFormat="false" ht="12.75" hidden="false" customHeight="true" outlineLevel="0" collapsed="false">
      <c r="A105" s="160" t="n">
        <v>50</v>
      </c>
      <c r="B105" s="161" t="n">
        <v>3.52</v>
      </c>
      <c r="C105" s="161" t="n">
        <v>2.96</v>
      </c>
      <c r="D105" s="161" t="n">
        <v>2.51</v>
      </c>
      <c r="E105" s="161" t="n">
        <v>2.12</v>
      </c>
      <c r="F105" s="161" t="n">
        <v>1.81</v>
      </c>
      <c r="G105" s="161" t="s">
        <v>984</v>
      </c>
    </row>
    <row r="106" customFormat="false" ht="12.75" hidden="false" customHeight="true" outlineLevel="0" collapsed="false">
      <c r="A106" s="158" t="n">
        <v>55</v>
      </c>
      <c r="B106" s="159" t="n">
        <v>3.63</v>
      </c>
      <c r="C106" s="159" t="n">
        <v>3.04</v>
      </c>
      <c r="D106" s="159" t="n">
        <v>2.56</v>
      </c>
      <c r="E106" s="159" t="n">
        <v>2.16</v>
      </c>
      <c r="F106" s="159" t="n">
        <v>1.84</v>
      </c>
      <c r="G106" s="159" t="s">
        <v>985</v>
      </c>
    </row>
    <row r="107" customFormat="false" ht="12.75" hidden="false" customHeight="true" outlineLevel="0" collapsed="false">
      <c r="A107" s="160" t="n">
        <v>60</v>
      </c>
      <c r="B107" s="161" t="n">
        <v>3.74</v>
      </c>
      <c r="C107" s="161" t="n">
        <v>3.12</v>
      </c>
      <c r="D107" s="161" t="n">
        <v>2.62</v>
      </c>
      <c r="E107" s="161" t="n">
        <v>2.2</v>
      </c>
      <c r="F107" s="161" t="n">
        <v>1.86</v>
      </c>
      <c r="G107" s="161" t="s">
        <v>986</v>
      </c>
    </row>
    <row r="108" customFormat="false" ht="12.75" hidden="false" customHeight="true" outlineLevel="0" collapsed="false">
      <c r="A108" s="158" t="n">
        <v>65</v>
      </c>
      <c r="B108" s="159" t="n">
        <v>3.83</v>
      </c>
      <c r="C108" s="159" t="n">
        <v>3.19</v>
      </c>
      <c r="D108" s="159" t="n">
        <v>2.67</v>
      </c>
      <c r="E108" s="159" t="n">
        <v>2.23</v>
      </c>
      <c r="F108" s="159" t="n">
        <v>1.89</v>
      </c>
      <c r="G108" s="159" t="s">
        <v>987</v>
      </c>
    </row>
    <row r="109" customFormat="false" ht="12.75" hidden="false" customHeight="true" outlineLevel="0" collapsed="false">
      <c r="A109" s="160" t="n">
        <v>70</v>
      </c>
      <c r="B109" s="161" t="n">
        <v>3.93</v>
      </c>
      <c r="C109" s="161" t="n">
        <v>3.25</v>
      </c>
      <c r="D109" s="161" t="n">
        <v>2.71</v>
      </c>
      <c r="E109" s="161" t="n">
        <v>2.27</v>
      </c>
      <c r="F109" s="161" t="n">
        <v>1.91</v>
      </c>
      <c r="G109" s="161" t="s">
        <v>988</v>
      </c>
    </row>
    <row r="110" customFormat="false" ht="12.75" hidden="false" customHeight="true" outlineLevel="0" collapsed="false">
      <c r="A110" s="158" t="n">
        <v>75</v>
      </c>
      <c r="B110" s="159" t="n">
        <v>4.02</v>
      </c>
      <c r="C110" s="159" t="n">
        <v>3.31</v>
      </c>
      <c r="D110" s="159" t="n">
        <v>2.76</v>
      </c>
      <c r="E110" s="159" t="n">
        <v>2.3</v>
      </c>
      <c r="F110" s="159" t="n">
        <v>1.93</v>
      </c>
      <c r="G110" s="159" t="s">
        <v>989</v>
      </c>
    </row>
    <row r="111" customFormat="false" ht="12.75" hidden="false" customHeight="true" outlineLevel="0" collapsed="false">
      <c r="A111" s="160" t="n">
        <v>80</v>
      </c>
      <c r="B111" s="161" t="n">
        <v>4.1</v>
      </c>
      <c r="C111" s="161" t="n">
        <v>3.37</v>
      </c>
      <c r="D111" s="161" t="n">
        <v>2.8</v>
      </c>
      <c r="E111" s="161" t="n">
        <v>2.33</v>
      </c>
      <c r="F111" s="161" t="n">
        <v>1.95</v>
      </c>
      <c r="G111" s="161" t="s">
        <v>990</v>
      </c>
    </row>
    <row r="112" customFormat="false" ht="12.75" hidden="false" customHeight="true" outlineLevel="0" collapsed="false">
      <c r="A112" s="158" t="n">
        <v>85</v>
      </c>
      <c r="B112" s="159" t="n">
        <v>4.18</v>
      </c>
      <c r="C112" s="159" t="n">
        <v>3.43</v>
      </c>
      <c r="D112" s="159" t="n">
        <v>2.84</v>
      </c>
      <c r="E112" s="159" t="n">
        <v>2.35</v>
      </c>
      <c r="F112" s="159" t="n">
        <v>1.96</v>
      </c>
      <c r="G112" s="159" t="s">
        <v>991</v>
      </c>
    </row>
    <row r="113" customFormat="false" ht="12.75" hidden="false" customHeight="true" outlineLevel="0" collapsed="false">
      <c r="A113" s="160" t="n">
        <v>90</v>
      </c>
      <c r="B113" s="161" t="n">
        <v>4.26</v>
      </c>
      <c r="C113" s="161" t="n">
        <v>3.49</v>
      </c>
      <c r="D113" s="161" t="n">
        <v>2.88</v>
      </c>
      <c r="E113" s="161" t="n">
        <v>2.38</v>
      </c>
      <c r="F113" s="161" t="n">
        <v>1.98</v>
      </c>
      <c r="G113" s="161" t="s">
        <v>992</v>
      </c>
    </row>
    <row r="114" customFormat="false" ht="12.75" hidden="false" customHeight="true" outlineLevel="0" collapsed="false">
      <c r="A114" s="158" t="n">
        <v>95</v>
      </c>
      <c r="B114" s="159" t="n">
        <v>4.33</v>
      </c>
      <c r="C114" s="159" t="n">
        <v>3.54</v>
      </c>
      <c r="D114" s="159" t="n">
        <v>2.92</v>
      </c>
      <c r="E114" s="159" t="n">
        <v>2.4</v>
      </c>
      <c r="F114" s="159" t="n">
        <v>2</v>
      </c>
      <c r="G114" s="159" t="s">
        <v>993</v>
      </c>
    </row>
    <row r="115" customFormat="false" ht="12.75" hidden="false" customHeight="true" outlineLevel="0" collapsed="false">
      <c r="A115" s="160" t="n">
        <v>100</v>
      </c>
      <c r="B115" s="161" t="n">
        <v>4.41</v>
      </c>
      <c r="C115" s="161" t="n">
        <v>3.59</v>
      </c>
      <c r="D115" s="161" t="n">
        <v>2.95</v>
      </c>
      <c r="E115" s="161" t="n">
        <v>2.43</v>
      </c>
      <c r="F115" s="161" t="n">
        <v>2.01</v>
      </c>
      <c r="G115" s="161" t="s">
        <v>994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4" min="3" style="1" width="13"/>
    <col collapsed="false" customWidth="true" hidden="false" outlineLevel="0" max="7" min="5" style="1" width="11"/>
    <col collapsed="false" customWidth="true" hidden="false" outlineLevel="0" max="8" min="8" style="1" width="10"/>
    <col collapsed="false" customWidth="true" hidden="false" outlineLevel="0" max="9" min="9" style="1" width="13"/>
    <col collapsed="false" customWidth="true" hidden="false" outlineLevel="0" max="10" min="10" style="1" width="11"/>
    <col collapsed="false" customWidth="true" hidden="false" outlineLevel="0" max="11" min="11" style="1" width="10"/>
    <col collapsed="false" customWidth="true" hidden="false" outlineLevel="0" max="12" min="12" style="1" width="9"/>
    <col collapsed="false" customWidth="true" hidden="false" outlineLevel="0" max="13" min="13" style="1" width="12"/>
    <col collapsed="false" customWidth="true" hidden="false" outlineLevel="0" max="14" min="14" style="1" width="11"/>
    <col collapsed="false" customWidth="true" hidden="false" outlineLevel="0" max="15" min="15" style="1" width="15"/>
    <col collapsed="false" customWidth="true" hidden="false" outlineLevel="0" max="16" min="16" style="1" width="10"/>
    <col collapsed="false" customWidth="true" hidden="false" outlineLevel="0" max="17" min="17" style="1" width="12"/>
    <col collapsed="false" customWidth="true" hidden="false" outlineLevel="0" max="18" min="18" style="1" width="13"/>
    <col collapsed="false" customWidth="true" hidden="false" outlineLevel="0" max="19" min="19" style="1" width="20"/>
  </cols>
  <sheetData>
    <row r="1" customFormat="false" ht="15" hidden="false" customHeight="true" outlineLevel="0" collapsed="false">
      <c r="A1" s="1" t="s">
        <v>995</v>
      </c>
    </row>
    <row r="3" customFormat="false" ht="15" hidden="false" customHeight="true" outlineLevel="0" collapsed="false">
      <c r="A3" s="1" t="s">
        <v>996</v>
      </c>
      <c r="B3" s="162" t="n">
        <v>85</v>
      </c>
    </row>
    <row r="4" customFormat="false" ht="15" hidden="false" customHeight="true" outlineLevel="0" collapsed="false">
      <c r="A4" s="1" t="s">
        <v>997</v>
      </c>
      <c r="B4" s="162" t="str">
        <f aca="false">Intake!B32</f>
        <v>22,668</v>
      </c>
    </row>
    <row r="6" customFormat="false" ht="15" hidden="false" customHeight="true" outlineLevel="0" collapsed="false">
      <c r="A6" s="163" t="s">
        <v>998</v>
      </c>
      <c r="B6" s="163" t="s">
        <v>999</v>
      </c>
      <c r="C6" s="163" t="s">
        <v>363</v>
      </c>
      <c r="D6" s="163" t="s">
        <v>1000</v>
      </c>
      <c r="E6" s="163" t="s">
        <v>353</v>
      </c>
      <c r="F6" s="163" t="s">
        <v>1001</v>
      </c>
      <c r="G6" s="163" t="s">
        <v>1002</v>
      </c>
      <c r="H6" s="163" t="s">
        <v>1003</v>
      </c>
      <c r="I6" s="163" t="s">
        <v>1004</v>
      </c>
      <c r="J6" s="163" t="s">
        <v>1005</v>
      </c>
      <c r="K6" s="163" t="s">
        <v>1006</v>
      </c>
      <c r="L6" s="163" t="s">
        <v>1007</v>
      </c>
      <c r="M6" s="163" t="s">
        <v>1008</v>
      </c>
      <c r="N6" s="163" t="s">
        <v>1009</v>
      </c>
      <c r="O6" s="163" t="s">
        <v>1010</v>
      </c>
      <c r="P6" s="163" t="s">
        <v>1011</v>
      </c>
      <c r="Q6" s="163" t="s">
        <v>1012</v>
      </c>
      <c r="R6" s="163" t="s">
        <v>1013</v>
      </c>
      <c r="S6" s="163" t="s">
        <v>393</v>
      </c>
    </row>
    <row r="7" customFormat="false" ht="15" hidden="false" customHeight="true" outlineLevel="0" collapsed="false">
      <c r="A7" s="164" t="s">
        <v>791</v>
      </c>
      <c r="B7" s="162" t="n">
        <v>1800000</v>
      </c>
      <c r="C7" s="162" t="n">
        <v>24000</v>
      </c>
      <c r="D7" s="165" t="n">
        <f aca="false">IF(OR(B7="",C7=""),"",B7/C7)</f>
        <v>75</v>
      </c>
      <c r="E7" s="162" t="s">
        <v>1014</v>
      </c>
      <c r="F7" s="166" t="n">
        <f aca="false">IF(OR(E7="",Intake!$B$9=""),"",(Intake!$B$9-E7)/30.4375)</f>
        <v>14.4229979466119</v>
      </c>
      <c r="G7" s="162" t="n">
        <v>0.005</v>
      </c>
      <c r="H7" s="167" t="n">
        <f aca="false">IF(OR(F7="",G7=""),"",F7*G7)</f>
        <v>0.0721149897330596</v>
      </c>
      <c r="I7" s="165" t="n">
        <f aca="false">IF(OR(D7="",H7=""),"",D7*(1+H7))</f>
        <v>80.4086242299795</v>
      </c>
      <c r="J7" s="168" t="n">
        <f aca="false">IF(C7="","",IFERROR(C7/$B$4,""))</f>
        <v>1.05876124933827</v>
      </c>
      <c r="K7" s="169" t="n">
        <v>1.0118</v>
      </c>
      <c r="L7" s="167" t="n">
        <v>0.0118</v>
      </c>
      <c r="M7" s="165" t="n">
        <f aca="false">IF(OR(I7="",L7=""),"",I7*L7)</f>
        <v>0.948821765913758</v>
      </c>
      <c r="N7" s="170" t="n">
        <v>0.02</v>
      </c>
      <c r="O7" s="170" t="n">
        <v>-0.03</v>
      </c>
      <c r="P7" s="170" t="n">
        <v>0</v>
      </c>
      <c r="Q7" s="167" t="n">
        <f aca="false">IF(L7="","",L7+SUM(N7:P7))</f>
        <v>0.0018</v>
      </c>
      <c r="R7" s="165" t="n">
        <f aca="false">IF(OR(I7="",Q7=""),"",I7*(1+Q7))</f>
        <v>80.5533597535934</v>
      </c>
      <c r="S7" s="162" t="s">
        <v>1015</v>
      </c>
    </row>
    <row r="8" customFormat="false" ht="15" hidden="false" customHeight="true" outlineLevel="0" collapsed="false">
      <c r="A8" s="164" t="s">
        <v>822</v>
      </c>
      <c r="B8" s="162" t="n">
        <v>1550000</v>
      </c>
      <c r="C8" s="162" t="n">
        <v>20000</v>
      </c>
      <c r="D8" s="165" t="n">
        <f aca="false">IF(OR(B8="",C8=""),"",B8/C8)</f>
        <v>77.5</v>
      </c>
      <c r="E8" s="162" t="s">
        <v>1016</v>
      </c>
      <c r="F8" s="166" t="n">
        <f aca="false">IF(OR(E8="",Intake!$B$9=""),"",(Intake!$B$9-E8)/30.4375)</f>
        <v>21.1581108829569</v>
      </c>
      <c r="G8" s="162" t="n">
        <v>0.005</v>
      </c>
      <c r="H8" s="167" t="n">
        <f aca="false">IF(OR(F8="",G8=""),"",F8*G8)</f>
        <v>0.105790554414784</v>
      </c>
      <c r="I8" s="165" t="n">
        <f aca="false">IF(OR(D8="",H8=""),"",D8*(1+H8))</f>
        <v>85.6987679671458</v>
      </c>
      <c r="J8" s="168" t="n">
        <f aca="false">IF(C8="","",IFERROR(C8/$B$4,""))</f>
        <v>0.882301041115229</v>
      </c>
      <c r="K8" s="169" t="n">
        <v>0.9729</v>
      </c>
      <c r="L8" s="167" t="n">
        <v>-0.0271</v>
      </c>
      <c r="M8" s="165" t="n">
        <f aca="false">IF(OR(I8="",L8=""),"",I8*L8)</f>
        <v>-2.32243661190965</v>
      </c>
      <c r="N8" s="170" t="n">
        <v>-0.05</v>
      </c>
      <c r="O8" s="170" t="n">
        <v>0</v>
      </c>
      <c r="P8" s="170" t="n">
        <v>0.01</v>
      </c>
      <c r="Q8" s="167" t="n">
        <f aca="false">IF(L8="","",L8+SUM(N8:P8))</f>
        <v>-0.0671</v>
      </c>
      <c r="R8" s="165" t="n">
        <f aca="false">IF(OR(I8="",Q8=""),"",I8*(1+Q8))</f>
        <v>79.9483806365503</v>
      </c>
      <c r="S8" s="162" t="s">
        <v>1017</v>
      </c>
    </row>
    <row r="9" customFormat="false" ht="15" hidden="false" customHeight="true" outlineLevel="0" collapsed="false">
      <c r="A9" s="164" t="s">
        <v>849</v>
      </c>
      <c r="B9" s="162" t="n">
        <v>1650000</v>
      </c>
      <c r="C9" s="162" t="n">
        <v>21500</v>
      </c>
      <c r="D9" s="165" t="n">
        <f aca="false">IF(OR(B9="",C9=""),"",B9/C9)</f>
        <v>76.7441860465116</v>
      </c>
      <c r="E9" s="162" t="s">
        <v>1018</v>
      </c>
      <c r="F9" s="166" t="n">
        <f aca="false">IF(OR(E9="",Intake!$B$9=""),"",(Intake!$B$9-E9)/30.4375)</f>
        <v>16.5256673511294</v>
      </c>
      <c r="G9" s="162" t="n">
        <v>0.005</v>
      </c>
      <c r="H9" s="167" t="n">
        <f aca="false">IF(OR(F9="",G9=""),"",F9*G9)</f>
        <v>0.0826283367556468</v>
      </c>
      <c r="I9" s="165" t="n">
        <f aca="false">IF(OR(D9="",H9=""),"",D9*(1+H9))</f>
        <v>83.0854304952008</v>
      </c>
      <c r="J9" s="168" t="n">
        <f aca="false">IF(C9="","",IFERROR(C9/$B$4,""))</f>
        <v>0.948473619198871</v>
      </c>
      <c r="K9" s="169" t="n">
        <v>0.9897</v>
      </c>
      <c r="L9" s="167" t="n">
        <v>-0.0103</v>
      </c>
      <c r="M9" s="165" t="n">
        <f aca="false">IF(OR(I9="",L9=""),"",I9*L9)</f>
        <v>-0.855779934100568</v>
      </c>
      <c r="N9" s="170" t="n">
        <v>0</v>
      </c>
      <c r="O9" s="170" t="n">
        <v>0.02</v>
      </c>
      <c r="P9" s="170" t="n">
        <v>0</v>
      </c>
      <c r="Q9" s="167" t="n">
        <f aca="false">IF(L9="","",L9+SUM(N9:P9))</f>
        <v>0.0097</v>
      </c>
      <c r="R9" s="165" t="n">
        <f aca="false">IF(OR(I9="",Q9=""),"",I9*(1+Q9))</f>
        <v>83.8913591710043</v>
      </c>
      <c r="S9" s="162" t="s">
        <v>1019</v>
      </c>
    </row>
    <row r="10" customFormat="false" ht="15" hidden="false" customHeight="true" outlineLevel="0" collapsed="false">
      <c r="A10" s="164" t="s">
        <v>873</v>
      </c>
      <c r="B10" s="162"/>
      <c r="C10" s="162"/>
      <c r="D10" s="165" t="str">
        <f aca="false">IF(OR(B10="",C10=""),"",B10/C10)</f>
        <v/>
      </c>
      <c r="E10" s="162"/>
      <c r="F10" s="166" t="str">
        <f aca="false">IF(OR(E10="",Intake!$B$9=""),"",(Intake!$B$9-E10)/30.4375)</f>
        <v/>
      </c>
      <c r="G10" s="162"/>
      <c r="H10" s="167" t="str">
        <f aca="false">IF(OR(F10="",G10=""),"",F10*G10)</f>
        <v/>
      </c>
      <c r="I10" s="165" t="str">
        <f aca="false">IF(OR(D10="",H10=""),"",D10*(1+H10))</f>
        <v/>
      </c>
      <c r="J10" s="168" t="str">
        <f aca="false">IF(C10="","",IFERROR(C10/$B$4,""))</f>
        <v/>
      </c>
      <c r="K10" s="169"/>
      <c r="L10" s="167"/>
      <c r="M10" s="165" t="str">
        <f aca="false">IF(OR(I10="",L10=""),"",I10*L10)</f>
        <v/>
      </c>
      <c r="N10" s="170"/>
      <c r="O10" s="170"/>
      <c r="P10" s="170"/>
      <c r="Q10" s="167" t="str">
        <f aca="false">IF(L10="","",L10+SUM(N10:P10))</f>
        <v/>
      </c>
      <c r="R10" s="165" t="str">
        <f aca="false">IF(OR(I10="",Q10=""),"",I10*(1+Q10))</f>
        <v/>
      </c>
      <c r="S10" s="162"/>
    </row>
    <row r="11" customFormat="false" ht="15" hidden="false" customHeight="true" outlineLevel="0" collapsed="false">
      <c r="A11" s="164" t="s">
        <v>874</v>
      </c>
      <c r="B11" s="162"/>
      <c r="C11" s="162"/>
      <c r="D11" s="165" t="str">
        <f aca="false">IF(OR(B11="",C11=""),"",B11/C11)</f>
        <v/>
      </c>
      <c r="E11" s="162"/>
      <c r="F11" s="166" t="str">
        <f aca="false">IF(OR(E11="",Intake!$B$9=""),"",(Intake!$B$9-E11)/30.4375)</f>
        <v/>
      </c>
      <c r="G11" s="162"/>
      <c r="H11" s="167" t="str">
        <f aca="false">IF(OR(F11="",G11=""),"",F11*G11)</f>
        <v/>
      </c>
      <c r="I11" s="165" t="str">
        <f aca="false">IF(OR(D11="",H11=""),"",D11*(1+H11))</f>
        <v/>
      </c>
      <c r="J11" s="168" t="str">
        <f aca="false">IF(C11="","",IFERROR(C11/$B$4,""))</f>
        <v/>
      </c>
      <c r="K11" s="169"/>
      <c r="L11" s="167"/>
      <c r="M11" s="165" t="str">
        <f aca="false">IF(OR(I11="",L11=""),"",I11*L11)</f>
        <v/>
      </c>
      <c r="N11" s="170"/>
      <c r="O11" s="170"/>
      <c r="P11" s="170"/>
      <c r="Q11" s="167" t="str">
        <f aca="false">IF(L11="","",L11+SUM(N11:P11))</f>
        <v/>
      </c>
      <c r="R11" s="165" t="str">
        <f aca="false">IF(OR(I11="",Q11=""),"",I11*(1+Q11))</f>
        <v/>
      </c>
      <c r="S11" s="162"/>
    </row>
    <row r="12" customFormat="false" ht="15" hidden="false" customHeight="true" outlineLevel="0" collapsed="false">
      <c r="A12" s="164" t="s">
        <v>875</v>
      </c>
      <c r="B12" s="162"/>
      <c r="C12" s="162"/>
      <c r="D12" s="165" t="str">
        <f aca="false">IF(OR(B12="",C12=""),"",B12/C12)</f>
        <v/>
      </c>
      <c r="E12" s="162"/>
      <c r="F12" s="166" t="str">
        <f aca="false">IF(OR(E12="",Intake!$B$9=""),"",(Intake!$B$9-E12)/30.4375)</f>
        <v/>
      </c>
      <c r="G12" s="162"/>
      <c r="H12" s="167" t="str">
        <f aca="false">IF(OR(F12="",G12=""),"",F12*G12)</f>
        <v/>
      </c>
      <c r="I12" s="165" t="str">
        <f aca="false">IF(OR(D12="",H12=""),"",D12*(1+H12))</f>
        <v/>
      </c>
      <c r="J12" s="168" t="str">
        <f aca="false">IF(C12="","",IFERROR(C12/$B$4,""))</f>
        <v/>
      </c>
      <c r="K12" s="169"/>
      <c r="L12" s="167"/>
      <c r="M12" s="165" t="str">
        <f aca="false">IF(OR(I12="",L12=""),"",I12*L12)</f>
        <v/>
      </c>
      <c r="N12" s="170"/>
      <c r="O12" s="170"/>
      <c r="P12" s="170"/>
      <c r="Q12" s="167" t="str">
        <f aca="false">IF(L12="","",L12+SUM(N12:P12))</f>
        <v/>
      </c>
      <c r="R12" s="165" t="str">
        <f aca="false">IF(OR(I12="",Q12=""),"",I12*(1+Q12))</f>
        <v/>
      </c>
      <c r="S12" s="162"/>
    </row>
    <row r="13" customFormat="false" ht="15" hidden="false" customHeight="true" outlineLevel="0" collapsed="false">
      <c r="A13" s="164" t="s">
        <v>876</v>
      </c>
      <c r="B13" s="162"/>
      <c r="C13" s="162"/>
      <c r="D13" s="165" t="str">
        <f aca="false">IF(OR(B13="",C13=""),"",B13/C13)</f>
        <v/>
      </c>
      <c r="E13" s="162"/>
      <c r="F13" s="166" t="str">
        <f aca="false">IF(OR(E13="",Intake!$B$9=""),"",(Intake!$B$9-E13)/30.4375)</f>
        <v/>
      </c>
      <c r="G13" s="162"/>
      <c r="H13" s="167" t="str">
        <f aca="false">IF(OR(F13="",G13=""),"",F13*G13)</f>
        <v/>
      </c>
      <c r="I13" s="165" t="str">
        <f aca="false">IF(OR(D13="",H13=""),"",D13*(1+H13))</f>
        <v/>
      </c>
      <c r="J13" s="168" t="str">
        <f aca="false">IF(C13="","",IFERROR(C13/$B$4,""))</f>
        <v/>
      </c>
      <c r="K13" s="169"/>
      <c r="L13" s="167"/>
      <c r="M13" s="165" t="str">
        <f aca="false">IF(OR(I13="",L13=""),"",I13*L13)</f>
        <v/>
      </c>
      <c r="N13" s="170"/>
      <c r="O13" s="170"/>
      <c r="P13" s="170"/>
      <c r="Q13" s="167" t="str">
        <f aca="false">IF(L13="","",L13+SUM(N13:P13))</f>
        <v/>
      </c>
      <c r="R13" s="165" t="str">
        <f aca="false">IF(OR(I13="",Q13=""),"",I13*(1+Q13))</f>
        <v/>
      </c>
      <c r="S13" s="162"/>
    </row>
    <row r="14" customFormat="false" ht="15" hidden="false" customHeight="true" outlineLevel="0" collapsed="false">
      <c r="A14" s="164" t="s">
        <v>1020</v>
      </c>
      <c r="B14" s="162"/>
      <c r="C14" s="162"/>
      <c r="D14" s="165" t="str">
        <f aca="false">IF(OR(B14="",C14=""),"",B14/C14)</f>
        <v/>
      </c>
      <c r="E14" s="162"/>
      <c r="F14" s="166" t="str">
        <f aca="false">IF(OR(E14="",Intake!$B$9=""),"",(Intake!$B$9-E14)/30.4375)</f>
        <v/>
      </c>
      <c r="G14" s="162"/>
      <c r="H14" s="167" t="str">
        <f aca="false">IF(OR(F14="",G14=""),"",F14*G14)</f>
        <v/>
      </c>
      <c r="I14" s="165" t="str">
        <f aca="false">IF(OR(D14="",H14=""),"",D14*(1+H14))</f>
        <v/>
      </c>
      <c r="J14" s="168" t="str">
        <f aca="false">IF(C14="","",IFERROR(C14/$B$4,""))</f>
        <v/>
      </c>
      <c r="K14" s="169"/>
      <c r="L14" s="167"/>
      <c r="M14" s="165" t="str">
        <f aca="false">IF(OR(I14="",L14=""),"",I14*L14)</f>
        <v/>
      </c>
      <c r="N14" s="170"/>
      <c r="O14" s="170"/>
      <c r="P14" s="170"/>
      <c r="Q14" s="167" t="str">
        <f aca="false">IF(L14="","",L14+SUM(N14:P14))</f>
        <v/>
      </c>
      <c r="R14" s="165" t="str">
        <f aca="false">IF(OR(I14="",Q14=""),"",I14*(1+Q14))</f>
        <v/>
      </c>
      <c r="S14" s="162"/>
    </row>
    <row r="15" customFormat="false" ht="15" hidden="false" customHeight="true" outlineLevel="0" collapsed="false">
      <c r="A15" s="164" t="s">
        <v>1021</v>
      </c>
      <c r="B15" s="162"/>
      <c r="C15" s="162"/>
      <c r="D15" s="165" t="str">
        <f aca="false">IF(OR(B15="",C15=""),"",B15/C15)</f>
        <v/>
      </c>
      <c r="E15" s="162"/>
      <c r="F15" s="166" t="str">
        <f aca="false">IF(OR(E15="",Intake!$B$9=""),"",(Intake!$B$9-E15)/30.4375)</f>
        <v/>
      </c>
      <c r="G15" s="162"/>
      <c r="H15" s="167" t="str">
        <f aca="false">IF(OR(F15="",G15=""),"",F15*G15)</f>
        <v/>
      </c>
      <c r="I15" s="165" t="str">
        <f aca="false">IF(OR(D15="",H15=""),"",D15*(1+H15))</f>
        <v/>
      </c>
      <c r="J15" s="168" t="str">
        <f aca="false">IF(C15="","",IFERROR(C15/$B$4,""))</f>
        <v/>
      </c>
      <c r="K15" s="169"/>
      <c r="L15" s="167"/>
      <c r="M15" s="165" t="str">
        <f aca="false">IF(OR(I15="",L15=""),"",I15*L15)</f>
        <v/>
      </c>
      <c r="N15" s="170"/>
      <c r="O15" s="170"/>
      <c r="P15" s="170"/>
      <c r="Q15" s="167" t="str">
        <f aca="false">IF(L15="","",L15+SUM(N15:P15))</f>
        <v/>
      </c>
      <c r="R15" s="165" t="str">
        <f aca="false">IF(OR(I15="",Q15=""),"",I15*(1+Q15))</f>
        <v/>
      </c>
      <c r="S15" s="162"/>
    </row>
    <row r="16" customFormat="false" ht="15" hidden="false" customHeight="true" outlineLevel="0" collapsed="false">
      <c r="A16" s="164" t="s">
        <v>1022</v>
      </c>
      <c r="B16" s="162"/>
      <c r="C16" s="162"/>
      <c r="D16" s="165" t="str">
        <f aca="false">IF(OR(B16="",C16=""),"",B16/C16)</f>
        <v/>
      </c>
      <c r="E16" s="162"/>
      <c r="F16" s="166" t="str">
        <f aca="false">IF(OR(E16="",Intake!$B$9=""),"",(Intake!$B$9-E16)/30.4375)</f>
        <v/>
      </c>
      <c r="G16" s="162"/>
      <c r="H16" s="167" t="str">
        <f aca="false">IF(OR(F16="",G16=""),"",F16*G16)</f>
        <v/>
      </c>
      <c r="I16" s="165" t="str">
        <f aca="false">IF(OR(D16="",H16=""),"",D16*(1+H16))</f>
        <v/>
      </c>
      <c r="J16" s="168" t="str">
        <f aca="false">IF(C16="","",IFERROR(C16/$B$4,""))</f>
        <v/>
      </c>
      <c r="K16" s="169"/>
      <c r="L16" s="167"/>
      <c r="M16" s="165" t="str">
        <f aca="false">IF(OR(I16="",L16=""),"",I16*L16)</f>
        <v/>
      </c>
      <c r="N16" s="170"/>
      <c r="O16" s="170"/>
      <c r="P16" s="170"/>
      <c r="Q16" s="167" t="str">
        <f aca="false">IF(L16="","",L16+SUM(N16:P16))</f>
        <v/>
      </c>
      <c r="R16" s="165" t="str">
        <f aca="false">IF(OR(I16="",Q16=""),"",I16*(1+Q16))</f>
        <v/>
      </c>
      <c r="S16" s="16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5" min="3" style="1" width="13"/>
    <col collapsed="false" customWidth="true" hidden="false" outlineLevel="0" max="8" min="6" style="1" width="11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11"/>
    <col collapsed="false" customWidth="true" hidden="false" outlineLevel="0" max="12" min="12" style="1" width="12"/>
    <col collapsed="false" customWidth="true" hidden="false" outlineLevel="0" max="13" min="13" style="1" width="16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7" min="16" style="1" width="11"/>
    <col collapsed="false" customWidth="true" hidden="false" outlineLevel="0" max="18" min="18" style="1" width="20"/>
  </cols>
  <sheetData>
    <row r="1" customFormat="false" ht="15" hidden="false" customHeight="true" outlineLevel="0" collapsed="false">
      <c r="A1" s="1" t="s">
        <v>1023</v>
      </c>
    </row>
    <row r="2" customFormat="false" ht="15" hidden="false" customHeight="true" outlineLevel="0" collapsed="false">
      <c r="A2" s="162" t="s">
        <v>1024</v>
      </c>
    </row>
    <row r="6" customFormat="false" ht="15" hidden="false" customHeight="true" outlineLevel="0" collapsed="false">
      <c r="A6" s="163" t="s">
        <v>998</v>
      </c>
      <c r="B6" s="163" t="s">
        <v>354</v>
      </c>
      <c r="C6" s="163" t="s">
        <v>999</v>
      </c>
      <c r="D6" s="163" t="s">
        <v>1025</v>
      </c>
      <c r="E6" s="163" t="s">
        <v>1000</v>
      </c>
      <c r="F6" s="163" t="s">
        <v>353</v>
      </c>
      <c r="G6" s="163" t="s">
        <v>1001</v>
      </c>
      <c r="H6" s="163" t="s">
        <v>1002</v>
      </c>
      <c r="I6" s="163" t="s">
        <v>1003</v>
      </c>
      <c r="J6" s="163" t="s">
        <v>1004</v>
      </c>
      <c r="K6" s="163" t="s">
        <v>1009</v>
      </c>
      <c r="L6" s="163" t="s">
        <v>1026</v>
      </c>
      <c r="M6" s="163" t="s">
        <v>1027</v>
      </c>
      <c r="N6" s="163" t="s">
        <v>1012</v>
      </c>
      <c r="O6" s="163" t="s">
        <v>1013</v>
      </c>
      <c r="P6" s="163" t="s">
        <v>349</v>
      </c>
      <c r="Q6" s="163" t="s">
        <v>345</v>
      </c>
      <c r="R6" s="163" t="s">
        <v>393</v>
      </c>
    </row>
    <row r="7" customFormat="false" ht="15" hidden="false" customHeight="true" outlineLevel="0" collapsed="false">
      <c r="A7" s="164" t="s">
        <v>791</v>
      </c>
      <c r="B7" s="162" t="s">
        <v>1028</v>
      </c>
      <c r="C7" s="162" t="n">
        <v>450000</v>
      </c>
      <c r="D7" s="162" t="n">
        <v>48000</v>
      </c>
      <c r="E7" s="165" t="n">
        <f aca="false">IF(OR(C7="",D7=""),"",C7/D7)</f>
        <v>9.375</v>
      </c>
      <c r="F7" s="162" t="s">
        <v>1029</v>
      </c>
      <c r="G7" s="166" t="n">
        <f aca="false">IF(OR(F7="",Intake!$B$9=""),"",(Intake!$B$9-F7)/30.4375)</f>
        <v>12.8788501026694</v>
      </c>
      <c r="H7" s="162" t="n">
        <v>0.004</v>
      </c>
      <c r="I7" s="167" t="n">
        <f aca="false">IF(OR(G7="",H7=""),"",G7*H7)</f>
        <v>0.0515154004106776</v>
      </c>
      <c r="J7" s="165" t="n">
        <f aca="false">IF(OR(E7="",I7=""),"",E7*(1+I7))</f>
        <v>9.8579568788501</v>
      </c>
      <c r="K7" s="170" t="n">
        <v>0.03</v>
      </c>
      <c r="L7" s="170" t="n">
        <v>-0.02</v>
      </c>
      <c r="M7" s="170" t="n">
        <v>0</v>
      </c>
      <c r="N7" s="167" t="n">
        <f aca="false">IF(AND(K7="",L7="",M7=""),"",SUM(K7:M7))</f>
        <v>0.01</v>
      </c>
      <c r="O7" s="165" t="n">
        <f aca="false">IF(OR(J7="",N7=""),"",J7*(1+N7))</f>
        <v>9.95653644763861</v>
      </c>
      <c r="P7" s="162" t="s">
        <v>1030</v>
      </c>
      <c r="Q7" s="162" t="s">
        <v>1031</v>
      </c>
      <c r="R7" s="162"/>
    </row>
    <row r="8" customFormat="false" ht="15" hidden="false" customHeight="true" outlineLevel="0" collapsed="false">
      <c r="A8" s="164" t="s">
        <v>822</v>
      </c>
      <c r="B8" s="162" t="s">
        <v>1032</v>
      </c>
      <c r="C8" s="162" t="n">
        <v>380000</v>
      </c>
      <c r="D8" s="162" t="n">
        <v>42000</v>
      </c>
      <c r="E8" s="165" t="n">
        <f aca="false">IF(OR(C8="",D8=""),"",C8/D8)</f>
        <v>9.04761904761905</v>
      </c>
      <c r="F8" s="162" t="s">
        <v>1033</v>
      </c>
      <c r="G8" s="166" t="n">
        <f aca="false">IF(OR(F8="",Intake!$B$9=""),"",(Intake!$B$9-F8)/30.4375)</f>
        <v>15.3757700205339</v>
      </c>
      <c r="H8" s="162" t="n">
        <v>0.004</v>
      </c>
      <c r="I8" s="167" t="n">
        <f aca="false">IF(OR(G8="",H8=""),"",G8*H8)</f>
        <v>0.0615030800821355</v>
      </c>
      <c r="J8" s="165" t="n">
        <f aca="false">IF(OR(E8="",I8=""),"",E8*(1+I8))</f>
        <v>9.60407548645742</v>
      </c>
      <c r="K8" s="170" t="n">
        <v>-0.04</v>
      </c>
      <c r="L8" s="170" t="n">
        <v>0</v>
      </c>
      <c r="M8" s="170" t="n">
        <v>0.01</v>
      </c>
      <c r="N8" s="167" t="n">
        <f aca="false">IF(AND(K8="",L8="",M8=""),"",SUM(K8:M8))</f>
        <v>-0.03</v>
      </c>
      <c r="O8" s="165" t="n">
        <f aca="false">IF(OR(J8="",N8=""),"",J8*(1+N8))</f>
        <v>9.31595322186369</v>
      </c>
      <c r="P8" s="162"/>
      <c r="Q8" s="162"/>
      <c r="R8" s="162"/>
    </row>
    <row r="9" customFormat="false" ht="15" hidden="false" customHeight="true" outlineLevel="0" collapsed="false">
      <c r="A9" s="164" t="s">
        <v>849</v>
      </c>
      <c r="B9" s="162"/>
      <c r="C9" s="162"/>
      <c r="D9" s="162"/>
      <c r="E9" s="165" t="str">
        <f aca="false">IF(OR(C9="",D9=""),"",C9/D9)</f>
        <v/>
      </c>
      <c r="F9" s="162"/>
      <c r="G9" s="166" t="str">
        <f aca="false">IF(OR(F9="",Intake!$B$9=""),"",(Intake!$B$9-F9)/30.4375)</f>
        <v/>
      </c>
      <c r="H9" s="162"/>
      <c r="I9" s="167" t="str">
        <f aca="false">IF(OR(G9="",H9=""),"",G9*H9)</f>
        <v/>
      </c>
      <c r="J9" s="165" t="str">
        <f aca="false">IF(OR(E9="",I9=""),"",E9*(1+I9))</f>
        <v/>
      </c>
      <c r="K9" s="170"/>
      <c r="L9" s="170"/>
      <c r="M9" s="170"/>
      <c r="N9" s="167" t="str">
        <f aca="false">IF(AND(K9="",L9="",M9=""),"",SUM(K9:M9))</f>
        <v/>
      </c>
      <c r="O9" s="165" t="str">
        <f aca="false">IF(OR(J9="",N9=""),"",J9*(1+N9))</f>
        <v/>
      </c>
      <c r="P9" s="162"/>
      <c r="Q9" s="162"/>
      <c r="R9" s="162"/>
    </row>
    <row r="10" customFormat="false" ht="15" hidden="false" customHeight="true" outlineLevel="0" collapsed="false">
      <c r="A10" s="164" t="s">
        <v>873</v>
      </c>
      <c r="B10" s="162"/>
      <c r="C10" s="162"/>
      <c r="D10" s="162"/>
      <c r="E10" s="165" t="str">
        <f aca="false">IF(OR(C10="",D10=""),"",C10/D10)</f>
        <v/>
      </c>
      <c r="F10" s="162"/>
      <c r="G10" s="166" t="str">
        <f aca="false">IF(OR(F10="",Intake!$B$9=""),"",(Intake!$B$9-F10)/30.4375)</f>
        <v/>
      </c>
      <c r="H10" s="162"/>
      <c r="I10" s="167" t="str">
        <f aca="false">IF(OR(G10="",H10=""),"",G10*H10)</f>
        <v/>
      </c>
      <c r="J10" s="165" t="str">
        <f aca="false">IF(OR(E10="",I10=""),"",E10*(1+I10))</f>
        <v/>
      </c>
      <c r="K10" s="170"/>
      <c r="L10" s="170"/>
      <c r="M10" s="170"/>
      <c r="N10" s="167" t="str">
        <f aca="false">IF(AND(K10="",L10="",M10=""),"",SUM(K10:M10))</f>
        <v/>
      </c>
      <c r="O10" s="165" t="str">
        <f aca="false">IF(OR(J10="",N10=""),"",J10*(1+N10))</f>
        <v/>
      </c>
      <c r="P10" s="162"/>
      <c r="Q10" s="162"/>
      <c r="R10" s="162"/>
    </row>
    <row r="11" customFormat="false" ht="15" hidden="false" customHeight="true" outlineLevel="0" collapsed="false">
      <c r="A11" s="164" t="s">
        <v>874</v>
      </c>
      <c r="B11" s="162"/>
      <c r="C11" s="162"/>
      <c r="D11" s="162"/>
      <c r="E11" s="165" t="str">
        <f aca="false">IF(OR(C11="",D11=""),"",C11/D11)</f>
        <v/>
      </c>
      <c r="F11" s="162"/>
      <c r="G11" s="166" t="str">
        <f aca="false">IF(OR(F11="",Intake!$B$9=""),"",(Intake!$B$9-F11)/30.4375)</f>
        <v/>
      </c>
      <c r="H11" s="162"/>
      <c r="I11" s="167" t="str">
        <f aca="false">IF(OR(G11="",H11=""),"",G11*H11)</f>
        <v/>
      </c>
      <c r="J11" s="165" t="str">
        <f aca="false">IF(OR(E11="",I11=""),"",E11*(1+I11))</f>
        <v/>
      </c>
      <c r="K11" s="170"/>
      <c r="L11" s="170"/>
      <c r="M11" s="170"/>
      <c r="N11" s="167" t="str">
        <f aca="false">IF(AND(K11="",L11="",M11=""),"",SUM(K11:M11))</f>
        <v/>
      </c>
      <c r="O11" s="165" t="str">
        <f aca="false">IF(OR(J11="",N11=""),"",J11*(1+N11))</f>
        <v/>
      </c>
      <c r="P11" s="162"/>
      <c r="Q11" s="162"/>
      <c r="R11" s="162"/>
    </row>
    <row r="12" customFormat="false" ht="15" hidden="false" customHeight="true" outlineLevel="0" collapsed="false">
      <c r="A12" s="164" t="s">
        <v>875</v>
      </c>
      <c r="B12" s="162"/>
      <c r="C12" s="162"/>
      <c r="D12" s="162"/>
      <c r="E12" s="165" t="str">
        <f aca="false">IF(OR(C12="",D12=""),"",C12/D12)</f>
        <v/>
      </c>
      <c r="F12" s="162"/>
      <c r="G12" s="166" t="str">
        <f aca="false">IF(OR(F12="",Intake!$B$9=""),"",(Intake!$B$9-F12)/30.4375)</f>
        <v/>
      </c>
      <c r="H12" s="162"/>
      <c r="I12" s="167" t="str">
        <f aca="false">IF(OR(G12="",H12=""),"",G12*H12)</f>
        <v/>
      </c>
      <c r="J12" s="165" t="str">
        <f aca="false">IF(OR(E12="",I12=""),"",E12*(1+I12))</f>
        <v/>
      </c>
      <c r="K12" s="170"/>
      <c r="L12" s="170"/>
      <c r="M12" s="170"/>
      <c r="N12" s="167" t="str">
        <f aca="false">IF(AND(K12="",L12="",M12=""),"",SUM(K12:M12))</f>
        <v/>
      </c>
      <c r="O12" s="165" t="str">
        <f aca="false">IF(OR(J12="",N12=""),"",J12*(1+N12))</f>
        <v/>
      </c>
      <c r="P12" s="162"/>
      <c r="Q12" s="162"/>
      <c r="R12" s="162"/>
    </row>
    <row r="13" customFormat="false" ht="15" hidden="false" customHeight="true" outlineLevel="0" collapsed="false">
      <c r="A13" s="164" t="s">
        <v>876</v>
      </c>
      <c r="B13" s="162"/>
      <c r="C13" s="162"/>
      <c r="D13" s="162"/>
      <c r="E13" s="165" t="str">
        <f aca="false">IF(OR(C13="",D13=""),"",C13/D13)</f>
        <v/>
      </c>
      <c r="F13" s="162"/>
      <c r="G13" s="166" t="str">
        <f aca="false">IF(OR(F13="",Intake!$B$9=""),"",(Intake!$B$9-F13)/30.4375)</f>
        <v/>
      </c>
      <c r="H13" s="162"/>
      <c r="I13" s="167" t="str">
        <f aca="false">IF(OR(G13="",H13=""),"",G13*H13)</f>
        <v/>
      </c>
      <c r="J13" s="165" t="str">
        <f aca="false">IF(OR(E13="",I13=""),"",E13*(1+I13))</f>
        <v/>
      </c>
      <c r="K13" s="170"/>
      <c r="L13" s="170"/>
      <c r="M13" s="170"/>
      <c r="N13" s="167" t="str">
        <f aca="false">IF(AND(K13="",L13="",M13=""),"",SUM(K13:M13))</f>
        <v/>
      </c>
      <c r="O13" s="165" t="str">
        <f aca="false">IF(OR(J13="",N13=""),"",J13*(1+N13))</f>
        <v/>
      </c>
      <c r="P13" s="162"/>
      <c r="Q13" s="162"/>
      <c r="R13" s="162"/>
    </row>
    <row r="14" customFormat="false" ht="15" hidden="false" customHeight="true" outlineLevel="0" collapsed="false">
      <c r="A14" s="164" t="s">
        <v>1020</v>
      </c>
      <c r="B14" s="162"/>
      <c r="C14" s="162"/>
      <c r="D14" s="162"/>
      <c r="E14" s="165" t="str">
        <f aca="false">IF(OR(C14="",D14=""),"",C14/D14)</f>
        <v/>
      </c>
      <c r="F14" s="162"/>
      <c r="G14" s="166" t="str">
        <f aca="false">IF(OR(F14="",Intake!$B$9=""),"",(Intake!$B$9-F14)/30.4375)</f>
        <v/>
      </c>
      <c r="H14" s="162"/>
      <c r="I14" s="167" t="str">
        <f aca="false">IF(OR(G14="",H14=""),"",G14*H14)</f>
        <v/>
      </c>
      <c r="J14" s="165" t="str">
        <f aca="false">IF(OR(E14="",I14=""),"",E14*(1+I14))</f>
        <v/>
      </c>
      <c r="K14" s="170"/>
      <c r="L14" s="170"/>
      <c r="M14" s="170"/>
      <c r="N14" s="167" t="str">
        <f aca="false">IF(AND(K14="",L14="",M14=""),"",SUM(K14:M14))</f>
        <v/>
      </c>
      <c r="O14" s="165" t="str">
        <f aca="false">IF(OR(J14="",N14=""),"",J14*(1+N14))</f>
        <v/>
      </c>
      <c r="P14" s="162"/>
      <c r="Q14" s="162"/>
      <c r="R14" s="162"/>
    </row>
    <row r="15" customFormat="false" ht="15" hidden="false" customHeight="true" outlineLevel="0" collapsed="false">
      <c r="A15" s="164" t="s">
        <v>1021</v>
      </c>
      <c r="B15" s="162"/>
      <c r="C15" s="162"/>
      <c r="D15" s="162"/>
      <c r="E15" s="165" t="str">
        <f aca="false">IF(OR(C15="",D15=""),"",C15/D15)</f>
        <v/>
      </c>
      <c r="F15" s="162"/>
      <c r="G15" s="166" t="str">
        <f aca="false">IF(OR(F15="",Intake!$B$9=""),"",(Intake!$B$9-F15)/30.4375)</f>
        <v/>
      </c>
      <c r="H15" s="162"/>
      <c r="I15" s="167" t="str">
        <f aca="false">IF(OR(G15="",H15=""),"",G15*H15)</f>
        <v/>
      </c>
      <c r="J15" s="165" t="str">
        <f aca="false">IF(OR(E15="",I15=""),"",E15*(1+I15))</f>
        <v/>
      </c>
      <c r="K15" s="170"/>
      <c r="L15" s="170"/>
      <c r="M15" s="170"/>
      <c r="N15" s="167" t="str">
        <f aca="false">IF(AND(K15="",L15="",M15=""),"",SUM(K15:M15))</f>
        <v/>
      </c>
      <c r="O15" s="165" t="str">
        <f aca="false">IF(OR(J15="",N15=""),"",J15*(1+N15))</f>
        <v/>
      </c>
      <c r="P15" s="162"/>
      <c r="Q15" s="162"/>
      <c r="R15" s="162"/>
    </row>
    <row r="16" customFormat="false" ht="15" hidden="false" customHeight="true" outlineLevel="0" collapsed="false">
      <c r="A16" s="164" t="s">
        <v>1022</v>
      </c>
      <c r="B16" s="162"/>
      <c r="C16" s="162"/>
      <c r="D16" s="162"/>
      <c r="E16" s="165" t="str">
        <f aca="false">IF(OR(C16="",D16=""),"",C16/D16)</f>
        <v/>
      </c>
      <c r="F16" s="162"/>
      <c r="G16" s="166" t="str">
        <f aca="false">IF(OR(F16="",Intake!$B$9=""),"",(Intake!$B$9-F16)/30.4375)</f>
        <v/>
      </c>
      <c r="H16" s="162"/>
      <c r="I16" s="167" t="str">
        <f aca="false">IF(OR(G16="",H16=""),"",G16*H16)</f>
        <v/>
      </c>
      <c r="J16" s="165" t="str">
        <f aca="false">IF(OR(E16="",I16=""),"",E16*(1+I16))</f>
        <v/>
      </c>
      <c r="K16" s="170"/>
      <c r="L16" s="170"/>
      <c r="M16" s="170"/>
      <c r="N16" s="167" t="str">
        <f aca="false">IF(AND(K16="",L16="",M16=""),"",SUM(K16:M16))</f>
        <v/>
      </c>
      <c r="O16" s="165" t="str">
        <f aca="false">IF(OR(J16="",N16=""),"",J16*(1+N16))</f>
        <v/>
      </c>
      <c r="P16" s="162"/>
      <c r="Q16" s="162"/>
      <c r="R16" s="162"/>
    </row>
    <row r="17" customFormat="false" ht="15" hidden="false" customHeight="true" outlineLevel="0" collapsed="false">
      <c r="A17" s="171" t="s">
        <v>483</v>
      </c>
      <c r="E17" s="1" t="n">
        <f aca="false">IFERROR(AVERAGE(E7:E16),"")</f>
        <v>9.21130952380952</v>
      </c>
      <c r="J17" s="1" t="n">
        <f aca="false">IFERROR(AVERAGE(J7:J16),"")</f>
        <v>9.73101618265376</v>
      </c>
      <c r="O17" s="1" t="n">
        <f aca="false">IFERROR(AVERAGE(O7:O16),"")</f>
        <v>9.63624483475115</v>
      </c>
    </row>
    <row r="19" customFormat="false" ht="15" hidden="false" customHeight="true" outlineLevel="0" collapsed="false">
      <c r="A19" s="163" t="s">
        <v>1034</v>
      </c>
    </row>
    <row r="20" customFormat="false" ht="15" hidden="false" customHeight="true" outlineLevel="0" collapsed="false">
      <c r="A20" s="1" t="s">
        <v>1035</v>
      </c>
      <c r="B20" s="1" t="n">
        <f aca="false">IFERROR(MIN(O7:O16),"")</f>
        <v>9.31595322186369</v>
      </c>
      <c r="D20" s="1" t="n">
        <f aca="false">IFERROR(MAX(O7:O16),"")</f>
        <v>9.95653644763861</v>
      </c>
    </row>
    <row r="21" customFormat="false" ht="15" hidden="false" customHeight="true" outlineLevel="0" collapsed="false">
      <c r="A21" s="1" t="s">
        <v>1036</v>
      </c>
      <c r="B21" s="162" t="n">
        <v>9.25</v>
      </c>
    </row>
    <row r="22" customFormat="false" ht="15" hidden="false" customHeight="true" outlineLevel="0" collapsed="false">
      <c r="A22" s="1" t="s">
        <v>1037</v>
      </c>
      <c r="B22" s="162" t="n">
        <v>55452</v>
      </c>
    </row>
    <row r="23" customFormat="false" ht="15" hidden="false" customHeight="true" outlineLevel="0" collapsed="false">
      <c r="A23" s="1" t="s">
        <v>1038</v>
      </c>
      <c r="B23" s="1" t="n">
        <f aca="false">B21*B22</f>
        <v>512931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true" outlineLevel="0" collapsed="false">
      <c r="A1" s="172" t="s">
        <v>1039</v>
      </c>
    </row>
    <row r="3" customFormat="false" ht="15" hidden="false" customHeight="true" outlineLevel="0" collapsed="false">
      <c r="A3" s="172" t="s">
        <v>1040</v>
      </c>
      <c r="B3" s="162" t="n">
        <v>0.3</v>
      </c>
    </row>
    <row r="6" customFormat="false" ht="15" hidden="false" customHeight="true" outlineLevel="0" collapsed="false">
      <c r="A6" s="163" t="s">
        <v>998</v>
      </c>
      <c r="B6" s="163" t="s">
        <v>354</v>
      </c>
      <c r="C6" s="163" t="s">
        <v>1041</v>
      </c>
      <c r="D6" s="163" t="s">
        <v>1042</v>
      </c>
      <c r="E6" s="163" t="s">
        <v>348</v>
      </c>
      <c r="F6" s="163" t="s">
        <v>372</v>
      </c>
      <c r="G6" s="163" t="s">
        <v>373</v>
      </c>
      <c r="H6" s="163" t="s">
        <v>374</v>
      </c>
      <c r="I6" s="163" t="s">
        <v>375</v>
      </c>
      <c r="J6" s="163" t="s">
        <v>349</v>
      </c>
      <c r="K6" s="163" t="s">
        <v>377</v>
      </c>
      <c r="L6" s="163" t="s">
        <v>378</v>
      </c>
      <c r="M6" s="163" t="s">
        <v>379</v>
      </c>
      <c r="N6" s="163" t="s">
        <v>1043</v>
      </c>
    </row>
    <row r="7" customFormat="false" ht="15" hidden="false" customHeight="true" outlineLevel="0" collapsed="false">
      <c r="A7" s="164" t="s">
        <v>791</v>
      </c>
      <c r="B7" s="162" t="s">
        <v>1015</v>
      </c>
      <c r="C7" s="173" t="n">
        <v>1</v>
      </c>
      <c r="D7" s="173" t="n">
        <v>0</v>
      </c>
      <c r="E7" s="173" t="n">
        <v>0</v>
      </c>
      <c r="F7" s="173" t="n">
        <v>0</v>
      </c>
      <c r="G7" s="173" t="n">
        <v>0</v>
      </c>
      <c r="H7" s="173" t="n">
        <v>0</v>
      </c>
      <c r="I7" s="173" t="n">
        <v>1</v>
      </c>
      <c r="J7" s="173" t="n">
        <v>0</v>
      </c>
      <c r="K7" s="173" t="n">
        <v>0</v>
      </c>
      <c r="L7" s="173" t="n">
        <v>0</v>
      </c>
      <c r="M7" s="174" t="n">
        <f aca="false">IFERROR(AVERAGE(C7:L7),"")</f>
        <v>0.2</v>
      </c>
      <c r="N7" s="162" t="str">
        <f aca="false">IF(M7="","",IF(M7&gt;$B$3,"Superior",IF(M7&lt;-$B$3,"Inferior","Similar")))</f>
        <v>Similar</v>
      </c>
    </row>
    <row r="8" customFormat="false" ht="15" hidden="false" customHeight="true" outlineLevel="0" collapsed="false">
      <c r="A8" s="164" t="s">
        <v>822</v>
      </c>
      <c r="B8" s="162" t="s">
        <v>1017</v>
      </c>
      <c r="C8" s="173" t="n">
        <v>0</v>
      </c>
      <c r="D8" s="173" t="n">
        <v>0</v>
      </c>
      <c r="E8" s="173" t="n">
        <v>0</v>
      </c>
      <c r="F8" s="173" t="n">
        <v>-1</v>
      </c>
      <c r="G8" s="173" t="n">
        <v>0</v>
      </c>
      <c r="H8" s="173" t="n">
        <v>0</v>
      </c>
      <c r="I8" s="173" t="n">
        <v>0</v>
      </c>
      <c r="J8" s="173" t="n">
        <v>0</v>
      </c>
      <c r="K8" s="173" t="n">
        <v>0</v>
      </c>
      <c r="L8" s="173" t="n">
        <v>0</v>
      </c>
      <c r="M8" s="174" t="n">
        <f aca="false">IFERROR(AVERAGE(C8:L8),"")</f>
        <v>-0.1</v>
      </c>
      <c r="N8" s="162" t="str">
        <f aca="false">IF(M8="","",IF(M8&gt;$B$3,"Superior",IF(M8&lt;-$B$3,"Inferior","Similar")))</f>
        <v>Similar</v>
      </c>
    </row>
    <row r="9" customFormat="false" ht="15" hidden="false" customHeight="true" outlineLevel="0" collapsed="false">
      <c r="A9" s="164" t="s">
        <v>849</v>
      </c>
      <c r="B9" s="162" t="s">
        <v>1019</v>
      </c>
      <c r="C9" s="173" t="n">
        <v>0</v>
      </c>
      <c r="D9" s="173" t="n">
        <v>0</v>
      </c>
      <c r="E9" s="173" t="n">
        <v>0</v>
      </c>
      <c r="F9" s="173" t="n">
        <v>0</v>
      </c>
      <c r="G9" s="173" t="n">
        <v>0</v>
      </c>
      <c r="H9" s="173" t="n">
        <v>0</v>
      </c>
      <c r="I9" s="173" t="n">
        <v>0</v>
      </c>
      <c r="J9" s="173" t="n">
        <v>0</v>
      </c>
      <c r="K9" s="173" t="n">
        <v>0</v>
      </c>
      <c r="L9" s="173" t="n">
        <v>0</v>
      </c>
      <c r="M9" s="174" t="n">
        <f aca="false">IFERROR(AVERAGE(C9:L9),"")</f>
        <v>0</v>
      </c>
      <c r="N9" s="162" t="str">
        <f aca="false">IF(M9="","",IF(M9&gt;$B$3,"Superior",IF(M9&lt;-$B$3,"Inferior","Similar")))</f>
        <v>Similar</v>
      </c>
    </row>
    <row r="10" customFormat="false" ht="15" hidden="false" customHeight="true" outlineLevel="0" collapsed="false">
      <c r="A10" s="164" t="s">
        <v>873</v>
      </c>
      <c r="B10" s="162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4" t="str">
        <f aca="false">IFERROR(AVERAGE(C10:L10),"")</f>
        <v/>
      </c>
      <c r="N10" s="162" t="str">
        <f aca="false">IF(M10="","",IF(M10&gt;$B$3,"Superior",IF(M10&lt;-$B$3,"Inferior","Similar")))</f>
        <v/>
      </c>
    </row>
    <row r="11" customFormat="false" ht="15" hidden="false" customHeight="true" outlineLevel="0" collapsed="false">
      <c r="A11" s="164" t="s">
        <v>874</v>
      </c>
      <c r="B11" s="162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4" t="str">
        <f aca="false">IFERROR(AVERAGE(C11:L11),"")</f>
        <v/>
      </c>
      <c r="N11" s="162" t="str">
        <f aca="false">IF(M11="","",IF(M11&gt;$B$3,"Superior",IF(M11&lt;-$B$3,"Inferior","Similar")))</f>
        <v/>
      </c>
    </row>
    <row r="12" customFormat="false" ht="15" hidden="false" customHeight="true" outlineLevel="0" collapsed="false">
      <c r="A12" s="164" t="s">
        <v>875</v>
      </c>
      <c r="B12" s="162"/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4" t="str">
        <f aca="false">IFERROR(AVERAGE(C12:L12),"")</f>
        <v/>
      </c>
      <c r="N12" s="162" t="str">
        <f aca="false">IF(M12="","",IF(M12&gt;$B$3,"Superior",IF(M12&lt;-$B$3,"Inferior","Similar")))</f>
        <v/>
      </c>
    </row>
    <row r="13" customFormat="false" ht="15" hidden="false" customHeight="true" outlineLevel="0" collapsed="false">
      <c r="A13" s="164" t="s">
        <v>876</v>
      </c>
      <c r="B13" s="162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4" t="str">
        <f aca="false">IFERROR(AVERAGE(C13:L13),"")</f>
        <v/>
      </c>
      <c r="N13" s="162" t="str">
        <f aca="false">IF(M13="","",IF(M13&gt;$B$3,"Superior",IF(M13&lt;-$B$3,"Inferior","Similar")))</f>
        <v/>
      </c>
    </row>
    <row r="14" customFormat="false" ht="15" hidden="false" customHeight="true" outlineLevel="0" collapsed="false">
      <c r="A14" s="164" t="s">
        <v>1020</v>
      </c>
      <c r="B14" s="162"/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4" t="str">
        <f aca="false">IFERROR(AVERAGE(C14:L14),"")</f>
        <v/>
      </c>
      <c r="N14" s="162" t="str">
        <f aca="false">IF(M14="","",IF(M14&gt;$B$3,"Superior",IF(M14&lt;-$B$3,"Inferior","Similar")))</f>
        <v/>
      </c>
    </row>
    <row r="15" customFormat="false" ht="15" hidden="false" customHeight="true" outlineLevel="0" collapsed="false">
      <c r="A15" s="164" t="s">
        <v>1021</v>
      </c>
      <c r="B15" s="162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4" t="str">
        <f aca="false">IFERROR(AVERAGE(C15:L15),"")</f>
        <v/>
      </c>
      <c r="N15" s="162" t="str">
        <f aca="false">IF(M15="","",IF(M15&gt;$B$3,"Superior",IF(M15&lt;-$B$3,"Inferior","Similar")))</f>
        <v/>
      </c>
    </row>
    <row r="16" customFormat="false" ht="15" hidden="false" customHeight="true" outlineLevel="0" collapsed="false">
      <c r="A16" s="164" t="s">
        <v>1022</v>
      </c>
      <c r="B16" s="162"/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4" t="str">
        <f aca="false">IFERROR(AVERAGE(C16:L16),"")</f>
        <v/>
      </c>
      <c r="N16" s="162" t="str">
        <f aca="false">IF(M16="","",IF(M16&gt;$B$3,"Superior",IF(M16&lt;-$B$3,"Inferior","Similar")))</f>
        <v/>
      </c>
    </row>
    <row r="18" customFormat="false" ht="15" hidden="false" customHeight="true" outlineLevel="0" collapsed="false">
      <c r="A18" s="172" t="s">
        <v>1044</v>
      </c>
      <c r="B18" s="172" t="n">
        <f aca="false">COUNTIF(N7:N16,"Superior")</f>
        <v>0</v>
      </c>
      <c r="C18" s="172" t="s">
        <v>1045</v>
      </c>
      <c r="D18" s="172" t="n">
        <f aca="false">COUNTIF(N7:N16,"Similar")</f>
        <v>3</v>
      </c>
      <c r="E18" s="172" t="s">
        <v>1046</v>
      </c>
      <c r="F18" s="172" t="n">
        <f aca="false">COUNTIF(N7:N16,"Inferior")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true" outlineLevel="0" collapsed="false">
      <c r="A1" s="172" t="s">
        <v>1047</v>
      </c>
    </row>
    <row r="3" customFormat="false" ht="15" hidden="false" customHeight="true" outlineLevel="0" collapsed="false">
      <c r="A3" s="172" t="s">
        <v>1040</v>
      </c>
      <c r="B3" s="162" t="n">
        <v>0.3</v>
      </c>
    </row>
    <row r="6" customFormat="false" ht="15" hidden="false" customHeight="true" outlineLevel="0" collapsed="false">
      <c r="A6" s="163" t="s">
        <v>998</v>
      </c>
      <c r="B6" s="163" t="s">
        <v>354</v>
      </c>
      <c r="C6" s="163" t="s">
        <v>1048</v>
      </c>
      <c r="D6" s="163" t="s">
        <v>1049</v>
      </c>
      <c r="E6" s="163" t="s">
        <v>372</v>
      </c>
      <c r="F6" s="163" t="s">
        <v>373</v>
      </c>
      <c r="G6" s="163" t="s">
        <v>349</v>
      </c>
      <c r="H6" s="163" t="s">
        <v>378</v>
      </c>
      <c r="I6" s="163" t="s">
        <v>379</v>
      </c>
      <c r="J6" s="163" t="s">
        <v>1043</v>
      </c>
    </row>
    <row r="7" customFormat="false" ht="15" hidden="false" customHeight="true" outlineLevel="0" collapsed="false">
      <c r="A7" s="164" t="s">
        <v>791</v>
      </c>
      <c r="B7" s="162" t="s">
        <v>1028</v>
      </c>
      <c r="C7" s="173" t="n">
        <v>1</v>
      </c>
      <c r="D7" s="173" t="n">
        <v>0</v>
      </c>
      <c r="E7" s="173" t="n">
        <v>0</v>
      </c>
      <c r="F7" s="173" t="n">
        <v>0</v>
      </c>
      <c r="G7" s="173" t="n">
        <v>0</v>
      </c>
      <c r="H7" s="173" t="n">
        <v>0</v>
      </c>
      <c r="I7" s="174" t="n">
        <f aca="false">IFERROR(AVERAGE(C7:H7),"")</f>
        <v>0.166666666666667</v>
      </c>
      <c r="J7" s="162" t="str">
        <f aca="false">IF(I7="","",IF(I7&gt;$B$3,"Superior",IF(I7&lt;-$B$3,"Inferior","Similar")))</f>
        <v>Similar</v>
      </c>
    </row>
    <row r="8" customFormat="false" ht="15" hidden="false" customHeight="true" outlineLevel="0" collapsed="false">
      <c r="A8" s="164" t="s">
        <v>822</v>
      </c>
      <c r="B8" s="162" t="s">
        <v>1032</v>
      </c>
      <c r="C8" s="173" t="n">
        <v>0</v>
      </c>
      <c r="D8" s="173" t="n">
        <v>0</v>
      </c>
      <c r="E8" s="173" t="n">
        <v>0</v>
      </c>
      <c r="F8" s="173" t="n">
        <v>0</v>
      </c>
      <c r="G8" s="173" t="n">
        <v>0</v>
      </c>
      <c r="H8" s="173" t="n">
        <v>0</v>
      </c>
      <c r="I8" s="174" t="n">
        <f aca="false">IFERROR(AVERAGE(C8:H8),"")</f>
        <v>0</v>
      </c>
      <c r="J8" s="162" t="str">
        <f aca="false">IF(I8="","",IF(I8&gt;$B$3,"Superior",IF(I8&lt;-$B$3,"Inferior","Similar")))</f>
        <v>Similar</v>
      </c>
    </row>
    <row r="9" customFormat="false" ht="15" hidden="false" customHeight="true" outlineLevel="0" collapsed="false">
      <c r="A9" s="164" t="s">
        <v>849</v>
      </c>
      <c r="B9" s="162"/>
      <c r="C9" s="173"/>
      <c r="D9" s="173"/>
      <c r="E9" s="173"/>
      <c r="F9" s="173"/>
      <c r="G9" s="173"/>
      <c r="H9" s="173"/>
      <c r="I9" s="174" t="str">
        <f aca="false">IFERROR(AVERAGE(C9:H9),"")</f>
        <v/>
      </c>
      <c r="J9" s="162" t="str">
        <f aca="false">IF(I9="","",IF(I9&gt;$B$3,"Superior",IF(I9&lt;-$B$3,"Inferior","Similar")))</f>
        <v/>
      </c>
    </row>
    <row r="10" customFormat="false" ht="15" hidden="false" customHeight="true" outlineLevel="0" collapsed="false">
      <c r="A10" s="164" t="s">
        <v>873</v>
      </c>
      <c r="B10" s="162"/>
      <c r="C10" s="173"/>
      <c r="D10" s="173"/>
      <c r="E10" s="173"/>
      <c r="F10" s="173"/>
      <c r="G10" s="173"/>
      <c r="H10" s="173"/>
      <c r="I10" s="174" t="str">
        <f aca="false">IFERROR(AVERAGE(C10:H10),"")</f>
        <v/>
      </c>
      <c r="J10" s="162" t="str">
        <f aca="false">IF(I10="","",IF(I10&gt;$B$3,"Superior",IF(I10&lt;-$B$3,"Inferior","Similar")))</f>
        <v/>
      </c>
    </row>
    <row r="11" customFormat="false" ht="15" hidden="false" customHeight="true" outlineLevel="0" collapsed="false">
      <c r="A11" s="164" t="s">
        <v>874</v>
      </c>
      <c r="B11" s="162"/>
      <c r="C11" s="173"/>
      <c r="D11" s="173"/>
      <c r="E11" s="173"/>
      <c r="F11" s="173"/>
      <c r="G11" s="173"/>
      <c r="H11" s="173"/>
      <c r="I11" s="174" t="str">
        <f aca="false">IFERROR(AVERAGE(C11:H11),"")</f>
        <v/>
      </c>
      <c r="J11" s="162" t="str">
        <f aca="false">IF(I11="","",IF(I11&gt;$B$3,"Superior",IF(I11&lt;-$B$3,"Inferior","Similar")))</f>
        <v/>
      </c>
    </row>
    <row r="12" customFormat="false" ht="15" hidden="false" customHeight="true" outlineLevel="0" collapsed="false">
      <c r="A12" s="164" t="s">
        <v>875</v>
      </c>
      <c r="B12" s="162"/>
      <c r="C12" s="173"/>
      <c r="D12" s="173"/>
      <c r="E12" s="173"/>
      <c r="F12" s="173"/>
      <c r="G12" s="173"/>
      <c r="H12" s="173"/>
      <c r="I12" s="174" t="str">
        <f aca="false">IFERROR(AVERAGE(C12:H12),"")</f>
        <v/>
      </c>
      <c r="J12" s="162" t="str">
        <f aca="false">IF(I12="","",IF(I12&gt;$B$3,"Superior",IF(I12&lt;-$B$3,"Inferior","Similar")))</f>
        <v/>
      </c>
    </row>
    <row r="13" customFormat="false" ht="15" hidden="false" customHeight="true" outlineLevel="0" collapsed="false">
      <c r="A13" s="164" t="s">
        <v>876</v>
      </c>
      <c r="B13" s="162"/>
      <c r="C13" s="173"/>
      <c r="D13" s="173"/>
      <c r="E13" s="173"/>
      <c r="F13" s="173"/>
      <c r="G13" s="173"/>
      <c r="H13" s="173"/>
      <c r="I13" s="174" t="str">
        <f aca="false">IFERROR(AVERAGE(C13:H13),"")</f>
        <v/>
      </c>
      <c r="J13" s="162" t="str">
        <f aca="false">IF(I13="","",IF(I13&gt;$B$3,"Superior",IF(I13&lt;-$B$3,"Inferior","Similar")))</f>
        <v/>
      </c>
    </row>
    <row r="14" customFormat="false" ht="15" hidden="false" customHeight="true" outlineLevel="0" collapsed="false">
      <c r="A14" s="164" t="s">
        <v>1020</v>
      </c>
      <c r="B14" s="162"/>
      <c r="C14" s="173"/>
      <c r="D14" s="173"/>
      <c r="E14" s="173"/>
      <c r="F14" s="173"/>
      <c r="G14" s="173"/>
      <c r="H14" s="173"/>
      <c r="I14" s="174" t="str">
        <f aca="false">IFERROR(AVERAGE(C14:H14),"")</f>
        <v/>
      </c>
      <c r="J14" s="162" t="str">
        <f aca="false">IF(I14="","",IF(I14&gt;$B$3,"Superior",IF(I14&lt;-$B$3,"Inferior","Similar")))</f>
        <v/>
      </c>
    </row>
    <row r="15" customFormat="false" ht="15" hidden="false" customHeight="true" outlineLevel="0" collapsed="false">
      <c r="A15" s="164" t="s">
        <v>1021</v>
      </c>
      <c r="B15" s="162"/>
      <c r="C15" s="173"/>
      <c r="D15" s="173"/>
      <c r="E15" s="173"/>
      <c r="F15" s="173"/>
      <c r="G15" s="173"/>
      <c r="H15" s="173"/>
      <c r="I15" s="174" t="str">
        <f aca="false">IFERROR(AVERAGE(C15:H15),"")</f>
        <v/>
      </c>
      <c r="J15" s="162" t="str">
        <f aca="false">IF(I15="","",IF(I15&gt;$B$3,"Superior",IF(I15&lt;-$B$3,"Inferior","Similar")))</f>
        <v/>
      </c>
    </row>
    <row r="16" customFormat="false" ht="15" hidden="false" customHeight="true" outlineLevel="0" collapsed="false">
      <c r="A16" s="164" t="s">
        <v>1022</v>
      </c>
      <c r="B16" s="162"/>
      <c r="C16" s="173"/>
      <c r="D16" s="173"/>
      <c r="E16" s="173"/>
      <c r="F16" s="173"/>
      <c r="G16" s="173"/>
      <c r="H16" s="173"/>
      <c r="I16" s="174" t="str">
        <f aca="false">IFERROR(AVERAGE(C16:H16),"")</f>
        <v/>
      </c>
      <c r="J16" s="162" t="str">
        <f aca="false">IF(I16="","",IF(I16&gt;$B$3,"Superior",IF(I16&lt;-$B$3,"Inferior","Similar")))</f>
        <v/>
      </c>
    </row>
    <row r="18" customFormat="false" ht="15" hidden="false" customHeight="true" outlineLevel="0" collapsed="false">
      <c r="A18" s="172" t="s">
        <v>1044</v>
      </c>
      <c r="B18" s="172" t="n">
        <f aca="false">COUNTIF(J7:J16,"Superior")</f>
        <v>0</v>
      </c>
      <c r="C18" s="172" t="s">
        <v>1045</v>
      </c>
      <c r="D18" s="172" t="n">
        <f aca="false">COUNTIF(J7:J16,"Similar")</f>
        <v>2</v>
      </c>
      <c r="E18" s="172" t="s">
        <v>1046</v>
      </c>
      <c r="F18" s="172" t="n">
        <f aca="false">COUNTIF(J7:J16,"Inferior")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2026-07-10T20:27:50Z</dcterms:created>
  <dc:creator>openpyxl</dc:creator>
  <dc:description/>
  <dc:language>en-US</dc:language>
  <cp:lastModifiedBy/>
  <dcterms:modified xsi:type="dcterms:W3CDTF">2026-07-10T20:45:40Z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