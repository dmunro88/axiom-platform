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take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land" sheetId="3" state="visible" r:id="rId3"/>
    <sheet xmlns:r="http://schemas.openxmlformats.org/officeDocument/2006/relationships" name="cost" sheetId="4" state="visible" r:id="rId4"/>
    <sheet xmlns:r="http://schemas.openxmlformats.org/officeDocument/2006/relationships" name="noi_adj" sheetId="5" state="visible" r:id="rId5"/>
    <sheet xmlns:r="http://schemas.openxmlformats.org/officeDocument/2006/relationships" name="cap_rates" sheetId="6" state="visible" r:id="rId6"/>
    <sheet xmlns:r="http://schemas.openxmlformats.org/officeDocument/2006/relationships" name="pgi_calc" sheetId="7" state="visible" r:id="rId7"/>
    <sheet xmlns:r="http://schemas.openxmlformats.org/officeDocument/2006/relationships" name="lease_comps" sheetId="8" state="visible" r:id="rId8"/>
    <sheet xmlns:r="http://schemas.openxmlformats.org/officeDocument/2006/relationships" name="lease_metrics" sheetId="9" state="visible" r:id="rId9"/>
    <sheet xmlns:r="http://schemas.openxmlformats.org/officeDocument/2006/relationships" name="qualitative_analysis" sheetId="10" state="visible" r:id="rId10"/>
    <sheet xmlns:r="http://schemas.openxmlformats.org/officeDocument/2006/relationships" name="subject_units" sheetId="11" state="visible" r:id="rId11"/>
    <sheet xmlns:r="http://schemas.openxmlformats.org/officeDocument/2006/relationships" name="expense_comp" sheetId="12" state="visible" r:id="rId12"/>
    <sheet xmlns:r="http://schemas.openxmlformats.org/officeDocument/2006/relationships" name="income_summary" sheetId="13" state="visible" r:id="rId13"/>
    <sheet xmlns:r="http://schemas.openxmlformats.org/officeDocument/2006/relationships" name="outputs" sheetId="14" state="visible" r:id="rId14"/>
    <sheet xmlns:r="http://schemas.openxmlformats.org/officeDocument/2006/relationships" name="comp_data" sheetId="15" state="visible" r:id="rId15"/>
    <sheet xmlns:r="http://schemas.openxmlformats.org/officeDocument/2006/relationships" name="dilmore" sheetId="16" state="visible" r:id="rId16"/>
    <sheet xmlns:r="http://schemas.openxmlformats.org/officeDocument/2006/relationships" name="sca_adjustment_grid" sheetId="17" state="visible" r:id="rId17"/>
  </sheets>
  <definedNames/>
</workbook>
</file>

<file path=xl/styles.xml><?xml version="1.0" encoding="utf-8"?>
<styleSheet xmlns="http://schemas.openxmlformats.org/spreadsheetml/2006/main">
  <numFmts count="14">
    <numFmt numFmtId="164" formatCode="\$#,##0.00"/>
    <numFmt numFmtId="165" formatCode="0.0%;\(0.0%\);\-"/>
    <numFmt numFmtId="166" formatCode="\$#,##0"/>
    <numFmt numFmtId="167" formatCode="0.0%"/>
    <numFmt numFmtId="168" formatCode="mmm\ yyyy"/>
    <numFmt numFmtId="169" formatCode="0.000"/>
    <numFmt numFmtId="170" formatCode="0.0000"/>
    <numFmt numFmtId="171" formatCode="\+0.0%;\-0.0%;0.0%"/>
    <numFmt numFmtId="172" formatCode="mm/dd/yyyy"/>
    <numFmt numFmtId="173" formatCode="0.0"/>
    <numFmt numFmtId="174" formatCode="+0.0%;-0.0%;0.0%"/>
    <numFmt numFmtId="175" formatCode="General_)"/>
    <numFmt numFmtId="176" formatCode="_(* #,##0.00_);_(* \(#,##0.00\);_(* \-??_);_(@_)"/>
    <numFmt numFmtId="177" formatCode="_(\$* #,##0.00_);_(\$* \(#,##0.00\);_(\$* \-??_);_(@_)"/>
  </numFmts>
  <fonts count="52">
    <font>
      <name val="Arial"/>
      <sz val="10"/>
    </font>
    <font>
      <name val="Arial MT"/>
      <b val="1"/>
      <color rgb="FF000000"/>
      <sz val="9"/>
    </font>
    <font>
      <name val="Arial"/>
      <sz val="10"/>
    </font>
    <font>
      <name val="Cambria"/>
      <b val="1"/>
      <color rgb="FFFFFFFF"/>
      <sz val="10"/>
    </font>
    <font>
      <name val="Cambria"/>
      <b val="1"/>
      <sz val="9"/>
    </font>
    <font>
      <name val="Cambria"/>
      <color rgb="FF000000"/>
      <sz val="9"/>
    </font>
    <font>
      <name val="Europa-Regular"/>
      <sz val="10"/>
    </font>
    <font>
      <name val="Cambria"/>
      <b val="1"/>
      <i val="1"/>
      <sz val="9"/>
    </font>
    <font>
      <name val="Cambria"/>
      <color rgb="FF444444"/>
      <sz val="9"/>
    </font>
    <font>
      <name val="Cambria"/>
      <i val="1"/>
      <color rgb="FF888888"/>
      <sz val="8"/>
    </font>
    <font>
      <name val="Cambria"/>
      <i val="1"/>
      <color rgb="FF666666"/>
      <sz val="8"/>
    </font>
    <font>
      <name val="Cambria"/>
      <b val="1"/>
      <color rgb="FFFFFFFF"/>
      <sz val="10"/>
    </font>
    <font>
      <name val="Cambria"/>
      <b val="1"/>
      <color rgb="FF000000"/>
      <sz val="9"/>
    </font>
    <font>
      <name val="Cambria"/>
      <i val="1"/>
      <color rgb="FF666666"/>
      <sz val="8"/>
    </font>
    <font>
      <name val="Cambria"/>
      <color rgb="FF000000"/>
      <sz val="9"/>
    </font>
    <font>
      <name val="Cambria"/>
      <b val="1"/>
      <color rgb="FF0000FF"/>
      <sz val="9"/>
    </font>
    <font>
      <name val="Calibri"/>
      <color rgb="FF111111"/>
      <sz val="10"/>
    </font>
    <font>
      <name val="Calibri"/>
      <color rgb="FF3F2A66"/>
      <sz val="10"/>
    </font>
    <font>
      <name val="Arial"/>
      <sz val="10"/>
    </font>
    <font>
      <name val="Calibri"/>
      <b val="1"/>
      <color rgb="FFFFFFFF"/>
      <sz val="11"/>
    </font>
    <font>
      <name val="Calibri"/>
      <b val="1"/>
      <color rgb="FF3F2A66"/>
      <sz val="11"/>
    </font>
    <font>
      <name val="Calibri"/>
      <i val="1"/>
      <color rgb="FF3F2A66"/>
      <sz val="10"/>
    </font>
    <font>
      <name val="Calibri"/>
      <color rgb="FF000000"/>
      <sz val="11"/>
    </font>
    <font>
      <name val="Calibri"/>
      <i val="1"/>
      <color rgb="FF777777"/>
      <sz val="10"/>
    </font>
    <font>
      <name val="Calibri"/>
      <i val="1"/>
      <color rgb="FF3F2A66"/>
      <sz val="11"/>
    </font>
    <font>
      <name val="Calibri"/>
      <i val="1"/>
      <color rgb="FF4CAF50"/>
      <sz val="10"/>
    </font>
    <font>
      <name val="Calibri"/>
      <color rgb="FF3F2A66"/>
      <sz val="11"/>
    </font>
    <font>
      <name val="Calibri"/>
      <color rgb="FF2E7D32"/>
      <sz val="11"/>
    </font>
    <font>
      <name val="Calibri"/>
      <color rgb="FFC62828"/>
      <sz val="11"/>
    </font>
    <font>
      <name val="Calibri"/>
      <b val="1"/>
      <color rgb="FFFFFFFF"/>
      <sz val="12"/>
    </font>
    <font>
      <name val="Calibri"/>
      <b val="1"/>
      <color rgb="FF000000"/>
      <sz val="11"/>
    </font>
    <font>
      <name val="Calibri"/>
      <b val="1"/>
      <color rgb="FFFFFFFF"/>
      <sz val="9"/>
    </font>
    <font>
      <name val="Calibri"/>
      <i val="1"/>
      <color rgb="FF3F2A66"/>
      <sz val="9"/>
    </font>
    <font>
      <name val="Calibri"/>
      <b val="1"/>
      <color rgb="FF000000"/>
      <sz val="10"/>
    </font>
    <font>
      <name val="Calibri"/>
      <color rgb="FF000000"/>
      <sz val="10"/>
    </font>
    <font>
      <name val="Cambria"/>
      <b val="1"/>
      <sz val="9"/>
    </font>
    <font>
      <name val="Calibri"/>
      <color rgb="FF000000"/>
      <sz val="11"/>
    </font>
    <font>
      <name val="Calibri"/>
      <sz val="11"/>
    </font>
    <font>
      <name val="Articulat CF Normal"/>
      <color rgb="FF000000"/>
      <sz val="11"/>
    </font>
    <font>
      <name val="Articulat CF Medium"/>
      <sz val="10"/>
    </font>
    <font>
      <name val="Articulat CF Medium"/>
      <color rgb="FFFFFFFF"/>
      <sz val="11"/>
    </font>
    <font>
      <name val="Articulat CF Medium"/>
      <color rgb="FF3F2A66"/>
      <sz val="11"/>
    </font>
    <font>
      <name val="Articulat CF"/>
      <i val="1"/>
      <color rgb="FF777777"/>
      <sz val="10"/>
    </font>
    <font>
      <name val="Articulat CF Medium"/>
      <color rgb="FFFFFFFF"/>
      <sz val="10"/>
    </font>
    <font>
      <name val="Calibri"/>
      <b val="1"/>
      <color rgb="FFFFFFFF"/>
      <sz val="11"/>
    </font>
    <font>
      <name val="Cambria"/>
      <color rgb="FF000000"/>
      <sz val="9"/>
    </font>
    <font>
      <name val="Cambria"/>
      <b val="1"/>
      <color rgb="FFFFFFFF"/>
      <sz val="9"/>
    </font>
    <font>
      <name val="Cambria"/>
      <b val="1"/>
      <color rgb="FF000000"/>
      <sz val="9"/>
    </font>
    <font>
      <name val="Cambria"/>
      <b val="1"/>
      <color rgb="FFFFFFFF"/>
      <sz val="10"/>
    </font>
    <font>
      <name val="Cambria"/>
      <color rgb="FF0000FF"/>
      <sz val="9"/>
    </font>
    <font>
      <name val="Arial"/>
      <color rgb="FF000000"/>
      <sz val="10"/>
    </font>
    <font>
      <name val="Arial"/>
      <i val="1"/>
      <color rgb="FF777777"/>
      <sz val="10"/>
    </font>
  </fonts>
  <fills count="22">
    <fill>
      <patternFill/>
    </fill>
    <fill>
      <patternFill patternType="gray125"/>
    </fill>
    <fill>
      <patternFill patternType="solid">
        <fgColor rgb="FF3F2A66"/>
      </patternFill>
    </fill>
    <fill>
      <patternFill patternType="solid">
        <fgColor rgb="FFD5CCEB"/>
      </patternFill>
    </fill>
    <fill>
      <patternFill patternType="solid">
        <fgColor rgb="FFEAE6F2"/>
      </patternFill>
    </fill>
    <fill>
      <patternFill patternType="solid">
        <fgColor rgb="FFFFFF00"/>
      </patternFill>
    </fill>
    <fill>
      <patternFill patternType="solid">
        <fgColor rgb="FF3F2A66"/>
      </patternFill>
    </fill>
    <fill>
      <patternFill patternType="solid">
        <fgColor rgb="FFD5CCEB"/>
      </patternFill>
    </fill>
    <fill>
      <patternFill patternType="solid">
        <fgColor rgb="FFE8F5E9"/>
      </patternFill>
    </fill>
    <fill>
      <patternFill patternType="solid">
        <fgColor rgb="FF3F2A66"/>
      </patternFill>
    </fill>
    <fill>
      <patternFill patternType="solid">
        <fgColor rgb="FFD5CCEB"/>
      </patternFill>
    </fill>
    <fill>
      <patternFill patternType="solid">
        <fgColor rgb="FFEDE9F7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F5F5F5"/>
      </patternFill>
    </fill>
    <fill>
      <patternFill patternType="solid">
        <fgColor rgb="FFFDECEA"/>
      </patternFill>
    </fill>
    <fill>
      <patternFill patternType="solid">
        <fgColor theme="0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3F2A66"/>
      </patternFill>
    </fill>
    <fill>
      <patternFill patternType="solid">
        <fgColor rgb="FFD5CCEB"/>
      </patternFill>
    </fill>
    <fill>
      <patternFill patternType="solid">
        <fgColor rgb="FFF5F5F5"/>
      </patternFill>
    </fill>
  </fills>
  <borders count="13">
    <border/>
    <border>
      <left style="thick">
        <color rgb="FF0000FF"/>
      </left>
      <top style="thick">
        <color rgb="FF0000FF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1">
    <xf numFmtId="0" fontId="18" fillId="0" borderId="8"/>
    <xf numFmtId="175" fontId="1" fillId="0" borderId="1"/>
    <xf numFmtId="176" fontId="18" fillId="0" borderId="8"/>
    <xf numFmtId="176" fontId="18" fillId="0" borderId="8"/>
    <xf numFmtId="176" fontId="18" fillId="0" borderId="8"/>
    <xf numFmtId="177" fontId="18" fillId="0" borderId="8"/>
    <xf numFmtId="0" fontId="18" fillId="0" borderId="8"/>
    <xf numFmtId="0" fontId="18" fillId="0" borderId="8"/>
    <xf numFmtId="0" fontId="18" fillId="0" borderId="8"/>
    <xf numFmtId="9" fontId="18" fillId="0" borderId="8"/>
    <xf numFmtId="9" fontId="18" fillId="0" borderId="8"/>
  </cellStyleXfs>
  <cellXfs count="253">
    <xf numFmtId="0" fontId="0" fillId="0" borderId="0" pivotButton="0" quotePrefix="0" xfId="0"/>
    <xf numFmtId="0" fontId="3" fillId="2" borderId="0" applyAlignment="1" pivotButton="0" quotePrefix="0" xfId="0">
      <alignment vertical="center"/>
    </xf>
    <xf numFmtId="0" fontId="4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 wrapText="1"/>
    </xf>
    <xf numFmtId="164" fontId="5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0" fontId="6" fillId="0" borderId="0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7" fontId="5" fillId="0" borderId="0" pivotButton="0" quotePrefix="0" xfId="0"/>
    <xf numFmtId="0" fontId="10" fillId="0" borderId="0" pivotButton="0" quotePrefix="0" xfId="0"/>
    <xf numFmtId="168" fontId="5" fillId="0" borderId="0" pivotButton="0" quotePrefix="0" xfId="0"/>
    <xf numFmtId="0" fontId="11" fillId="6" borderId="0" pivotButton="0" quotePrefix="0" xfId="0"/>
    <xf numFmtId="0" fontId="0" fillId="6" borderId="0" pivotButton="0" quotePrefix="0" xfId="0"/>
    <xf numFmtId="0" fontId="12" fillId="7" borderId="0" applyAlignment="1" pivotButton="0" quotePrefix="0" xfId="0">
      <alignment horizontal="center" vertical="center" wrapText="1"/>
    </xf>
    <xf numFmtId="0" fontId="13" fillId="0" borderId="0" pivotButton="0" quotePrefix="0" xfId="0"/>
    <xf numFmtId="0" fontId="14" fillId="0" borderId="0" pivotButton="0" quotePrefix="0" xfId="0"/>
    <xf numFmtId="0" fontId="14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166" fontId="14" fillId="0" borderId="0" applyAlignment="1" pivotButton="0" quotePrefix="0" xfId="0">
      <alignment horizontal="center" vertical="center"/>
    </xf>
    <xf numFmtId="10" fontId="14" fillId="5" borderId="0" applyAlignment="1" pivotButton="0" quotePrefix="0" xfId="0">
      <alignment horizontal="center" vertical="center"/>
    </xf>
    <xf numFmtId="167" fontId="14" fillId="0" borderId="0" applyAlignment="1" pivotButton="0" quotePrefix="0" xfId="0">
      <alignment horizontal="center" vertical="center"/>
    </xf>
    <xf numFmtId="1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left"/>
    </xf>
    <xf numFmtId="164" fontId="14" fillId="0" borderId="0" applyAlignment="1" pivotButton="0" quotePrefix="0" xfId="0">
      <alignment horizontal="center"/>
    </xf>
    <xf numFmtId="166" fontId="14" fillId="0" borderId="0" pivotButton="0" quotePrefix="0" xfId="0"/>
    <xf numFmtId="164" fontId="14" fillId="0" borderId="0" pivotButton="0" quotePrefix="0" xfId="0"/>
    <xf numFmtId="0" fontId="16" fillId="8" borderId="2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/>
    </xf>
    <xf numFmtId="0" fontId="18" fillId="0" borderId="0" pivotButton="0" quotePrefix="0" xfId="0"/>
    <xf numFmtId="0" fontId="19" fillId="9" borderId="4" applyAlignment="1" pivotButton="0" quotePrefix="0" xfId="0">
      <alignment horizontal="left" vertical="center"/>
    </xf>
    <xf numFmtId="0" fontId="20" fillId="10" borderId="4" applyAlignment="1" pivotButton="0" quotePrefix="0" xfId="0">
      <alignment horizontal="center" vertical="center" wrapText="1"/>
    </xf>
    <xf numFmtId="0" fontId="22" fillId="12" borderId="4" applyAlignment="1" pivotButton="0" quotePrefix="0" xfId="0">
      <alignment horizontal="left" vertical="center"/>
    </xf>
    <xf numFmtId="0" fontId="22" fillId="13" borderId="4" applyAlignment="1" pivotButton="0" quotePrefix="0" xfId="0">
      <alignment horizontal="left" vertical="center"/>
    </xf>
    <xf numFmtId="0" fontId="23" fillId="12" borderId="4" applyAlignment="1" pivotButton="0" quotePrefix="0" xfId="0">
      <alignment horizontal="left" vertical="center" wrapText="1"/>
    </xf>
    <xf numFmtId="0" fontId="22" fillId="12" borderId="4" applyAlignment="1" pivotButton="0" quotePrefix="0" xfId="0">
      <alignment horizontal="center" vertical="center"/>
    </xf>
    <xf numFmtId="0" fontId="22" fillId="14" borderId="4" applyAlignment="1" pivotButton="0" quotePrefix="0" xfId="0">
      <alignment horizontal="left" vertical="center"/>
    </xf>
    <xf numFmtId="0" fontId="23" fillId="14" borderId="4" applyAlignment="1" pivotButton="0" quotePrefix="0" xfId="0">
      <alignment horizontal="left" vertical="center" wrapText="1"/>
    </xf>
    <xf numFmtId="0" fontId="22" fillId="14" borderId="4" applyAlignment="1" pivotButton="0" quotePrefix="0" xfId="0">
      <alignment horizontal="center" vertical="center"/>
    </xf>
    <xf numFmtId="0" fontId="29" fillId="9" borderId="4" applyAlignment="1" pivotButton="0" quotePrefix="0" xfId="0">
      <alignment horizontal="center" vertical="center"/>
    </xf>
    <xf numFmtId="0" fontId="20" fillId="11" borderId="4" applyAlignment="1" pivotButton="0" quotePrefix="0" xfId="0">
      <alignment horizontal="left" vertical="center"/>
    </xf>
    <xf numFmtId="0" fontId="22" fillId="13" borderId="4" applyAlignment="1" pivotButton="0" quotePrefix="0" xfId="0">
      <alignment horizontal="center" vertical="center"/>
    </xf>
    <xf numFmtId="0" fontId="21" fillId="11" borderId="4" applyAlignment="1" pivotButton="0" quotePrefix="0" xfId="0">
      <alignment horizontal="left" vertical="center"/>
    </xf>
    <xf numFmtId="0" fontId="26" fillId="11" borderId="4" applyAlignment="1" pivotButton="0" quotePrefix="0" xfId="0">
      <alignment horizontal="center" vertical="center"/>
    </xf>
    <xf numFmtId="169" fontId="22" fillId="12" borderId="4" applyAlignment="1" pivotButton="0" quotePrefix="0" xfId="0">
      <alignment horizontal="center" vertical="center"/>
    </xf>
    <xf numFmtId="170" fontId="22" fillId="12" borderId="4" applyAlignment="1" pivotButton="0" quotePrefix="0" xfId="0">
      <alignment horizontal="center" vertical="center"/>
    </xf>
    <xf numFmtId="171" fontId="22" fillId="12" borderId="4" applyAlignment="1" pivotButton="0" quotePrefix="0" xfId="0">
      <alignment horizontal="center" vertical="center"/>
    </xf>
    <xf numFmtId="169" fontId="22" fillId="14" borderId="4" applyAlignment="1" pivotButton="0" quotePrefix="0" xfId="0">
      <alignment horizontal="center" vertical="center"/>
    </xf>
    <xf numFmtId="170" fontId="22" fillId="14" borderId="4" applyAlignment="1" pivotButton="0" quotePrefix="0" xfId="0">
      <alignment horizontal="center" vertical="center"/>
    </xf>
    <xf numFmtId="171" fontId="22" fillId="14" borderId="4" applyAlignment="1" pivotButton="0" quotePrefix="0" xfId="0">
      <alignment horizontal="center" vertical="center"/>
    </xf>
    <xf numFmtId="0" fontId="22" fillId="12" borderId="4" applyAlignment="1" pivotButton="0" quotePrefix="0" xfId="0">
      <alignment horizontal="left" vertical="center" wrapText="1"/>
    </xf>
    <xf numFmtId="0" fontId="22" fillId="12" borderId="4" applyAlignment="1" pivotButton="0" quotePrefix="0" xfId="0">
      <alignment horizontal="right" vertical="center" wrapText="1"/>
    </xf>
    <xf numFmtId="0" fontId="22" fillId="14" borderId="4" applyAlignment="1" pivotButton="0" quotePrefix="0" xfId="0">
      <alignment horizontal="left" vertical="center" wrapText="1"/>
    </xf>
    <xf numFmtId="0" fontId="22" fillId="14" borderId="4" applyAlignment="1" pivotButton="0" quotePrefix="0" xfId="0">
      <alignment horizontal="right" vertical="center" wrapText="1"/>
    </xf>
    <xf numFmtId="0" fontId="20" fillId="10" borderId="4" applyAlignment="1" pivotButton="0" quotePrefix="0" xfId="0">
      <alignment horizontal="left" vertical="center"/>
    </xf>
    <xf numFmtId="0" fontId="20" fillId="10" borderId="4" applyAlignment="1" pivotButton="0" quotePrefix="0" xfId="0">
      <alignment horizontal="right" vertical="center"/>
    </xf>
    <xf numFmtId="0" fontId="20" fillId="11" borderId="4" applyAlignment="1" pivotButton="0" quotePrefix="0" xfId="0">
      <alignment horizontal="left" vertical="center" wrapText="1"/>
    </xf>
    <xf numFmtId="0" fontId="22" fillId="11" borderId="4" applyAlignment="1" pivotButton="0" quotePrefix="0" xfId="0">
      <alignment horizontal="left" vertical="center" wrapText="1"/>
    </xf>
    <xf numFmtId="0" fontId="22" fillId="11" borderId="4" applyAlignment="1" pivotButton="0" quotePrefix="0" xfId="0">
      <alignment horizontal="right" vertical="center" wrapText="1"/>
    </xf>
    <xf numFmtId="0" fontId="22" fillId="13" borderId="4" applyAlignment="1" pivotButton="0" quotePrefix="0" xfId="0">
      <alignment horizontal="right" vertical="center" wrapText="1"/>
    </xf>
    <xf numFmtId="0" fontId="20" fillId="10" borderId="4" applyAlignment="1" pivotButton="0" quotePrefix="0" xfId="0">
      <alignment horizontal="left" vertical="center" wrapText="1"/>
    </xf>
    <xf numFmtId="0" fontId="20" fillId="10" borderId="4" applyAlignment="1" pivotButton="0" quotePrefix="0" xfId="0">
      <alignment horizontal="right" vertical="center" wrapText="1"/>
    </xf>
    <xf numFmtId="0" fontId="22" fillId="13" borderId="4" applyAlignment="1" pivotButton="0" quotePrefix="0" xfId="0">
      <alignment horizontal="left" vertical="center" wrapText="1"/>
    </xf>
    <xf numFmtId="0" fontId="30" fillId="12" borderId="4" applyAlignment="1" pivotButton="0" quotePrefix="0" xfId="0">
      <alignment horizontal="left" vertical="center" wrapText="1"/>
    </xf>
    <xf numFmtId="0" fontId="30" fillId="14" borderId="4" applyAlignment="1" pivotButton="0" quotePrefix="0" xfId="0">
      <alignment horizontal="left" vertical="center" wrapText="1"/>
    </xf>
    <xf numFmtId="0" fontId="29" fillId="9" borderId="4" applyAlignment="1" pivotButton="0" quotePrefix="0" xfId="0">
      <alignment horizontal="left" vertical="center"/>
    </xf>
    <xf numFmtId="0" fontId="29" fillId="9" borderId="4" applyAlignment="1" pivotButton="0" quotePrefix="0" xfId="0">
      <alignment horizontal="right" vertical="center"/>
    </xf>
    <xf numFmtId="0" fontId="29" fillId="9" borderId="4" pivotButton="0" quotePrefix="0" xfId="0"/>
    <xf numFmtId="3" fontId="22" fillId="12" borderId="4" applyAlignment="1" pivotButton="0" quotePrefix="0" xfId="0">
      <alignment horizontal="right" vertical="center" wrapText="1"/>
    </xf>
    <xf numFmtId="164" fontId="22" fillId="12" borderId="4" applyAlignment="1" pivotButton="0" quotePrefix="0" xfId="0">
      <alignment horizontal="right" vertical="center" wrapText="1"/>
    </xf>
    <xf numFmtId="170" fontId="22" fillId="12" borderId="4" applyAlignment="1" pivotButton="0" quotePrefix="0" xfId="0">
      <alignment horizontal="right" vertical="center" wrapText="1"/>
    </xf>
    <xf numFmtId="3" fontId="22" fillId="14" borderId="4" applyAlignment="1" pivotButton="0" quotePrefix="0" xfId="0">
      <alignment horizontal="right" vertical="center" wrapText="1"/>
    </xf>
    <xf numFmtId="164" fontId="22" fillId="14" borderId="4" applyAlignment="1" pivotButton="0" quotePrefix="0" xfId="0">
      <alignment horizontal="right" vertical="center" wrapText="1"/>
    </xf>
    <xf numFmtId="170" fontId="22" fillId="14" borderId="4" applyAlignment="1" pivotButton="0" quotePrefix="0" xfId="0">
      <alignment horizontal="right" vertical="center" wrapText="1"/>
    </xf>
    <xf numFmtId="10" fontId="20" fillId="10" borderId="4" applyAlignment="1" pivotButton="0" quotePrefix="0" xfId="0">
      <alignment horizontal="center" vertical="center" wrapText="1"/>
    </xf>
    <xf numFmtId="10" fontId="22" fillId="12" borderId="4" applyAlignment="1" pivotButton="0" quotePrefix="0" xfId="0">
      <alignment horizontal="left" vertical="center" wrapText="1"/>
    </xf>
    <xf numFmtId="166" fontId="22" fillId="12" borderId="4" applyAlignment="1" pivotButton="0" quotePrefix="0" xfId="0">
      <alignment horizontal="right" vertical="center" wrapText="1"/>
    </xf>
    <xf numFmtId="10" fontId="22" fillId="12" borderId="4" applyAlignment="1" pivotButton="0" quotePrefix="0" xfId="0">
      <alignment horizontal="right" vertical="center" wrapText="1"/>
    </xf>
    <xf numFmtId="10" fontId="22" fillId="14" borderId="4" applyAlignment="1" pivotButton="0" quotePrefix="0" xfId="0">
      <alignment horizontal="left" vertical="center" wrapText="1"/>
    </xf>
    <xf numFmtId="166" fontId="22" fillId="14" borderId="4" applyAlignment="1" pivotButton="0" quotePrefix="0" xfId="0">
      <alignment horizontal="right" vertical="center" wrapText="1"/>
    </xf>
    <xf numFmtId="10" fontId="22" fillId="14" borderId="4" applyAlignment="1" pivotButton="0" quotePrefix="0" xfId="0">
      <alignment horizontal="right" vertical="center" wrapText="1"/>
    </xf>
    <xf numFmtId="10" fontId="20" fillId="10" borderId="4" applyAlignment="1" pivotButton="0" quotePrefix="0" xfId="0">
      <alignment horizontal="right" vertical="center"/>
    </xf>
    <xf numFmtId="0" fontId="26" fillId="11" borderId="4" applyAlignment="1" pivotButton="0" quotePrefix="0" xfId="0">
      <alignment horizontal="left" vertical="center"/>
    </xf>
    <xf numFmtId="164" fontId="22" fillId="13" borderId="4" applyAlignment="1" pivotButton="0" quotePrefix="0" xfId="0">
      <alignment horizontal="right" vertical="center"/>
    </xf>
    <xf numFmtId="0" fontId="25" fillId="11" borderId="4" applyAlignment="1" pivotButton="0" quotePrefix="0" xfId="0">
      <alignment horizontal="right" vertical="center"/>
    </xf>
    <xf numFmtId="0" fontId="26" fillId="11" borderId="4" applyAlignment="1" pivotButton="0" quotePrefix="0" xfId="0">
      <alignment horizontal="right" vertical="center"/>
    </xf>
    <xf numFmtId="3" fontId="20" fillId="10" borderId="4" applyAlignment="1" pivotButton="0" quotePrefix="0" xfId="0">
      <alignment horizontal="right" vertical="center"/>
    </xf>
    <xf numFmtId="166" fontId="20" fillId="10" borderId="4" applyAlignment="1" pivotButton="0" quotePrefix="0" xfId="0">
      <alignment horizontal="right" vertical="center"/>
    </xf>
    <xf numFmtId="0" fontId="19" fillId="9" borderId="4" applyAlignment="1" pivotButton="0" quotePrefix="0" xfId="0">
      <alignment horizontal="right" vertical="center"/>
    </xf>
    <xf numFmtId="166" fontId="19" fillId="9" borderId="4" applyAlignment="1" pivotButton="0" quotePrefix="0" xfId="0">
      <alignment horizontal="right" vertical="center"/>
    </xf>
    <xf numFmtId="172" fontId="22" fillId="12" borderId="4" applyAlignment="1" pivotButton="0" quotePrefix="0" xfId="0">
      <alignment horizontal="right" vertical="center" wrapText="1"/>
    </xf>
    <xf numFmtId="172" fontId="22" fillId="14" borderId="4" applyAlignment="1" pivotButton="0" quotePrefix="0" xfId="0">
      <alignment horizontal="right" vertical="center" wrapText="1"/>
    </xf>
    <xf numFmtId="164" fontId="20" fillId="10" borderId="4" applyAlignment="1" pivotButton="0" quotePrefix="0" xfId="0">
      <alignment horizontal="right" vertical="center"/>
    </xf>
    <xf numFmtId="0" fontId="27" fillId="13" borderId="4" applyAlignment="1" pivotButton="0" quotePrefix="0" xfId="0">
      <alignment horizontal="center" vertical="center"/>
    </xf>
    <xf numFmtId="0" fontId="28" fillId="15" borderId="4" applyAlignment="1" pivotButton="0" quotePrefix="0" xfId="0">
      <alignment horizontal="center" vertical="center"/>
    </xf>
    <xf numFmtId="3" fontId="22" fillId="11" borderId="4" applyAlignment="1" pivotButton="0" quotePrefix="0" xfId="0">
      <alignment horizontal="right" vertical="center" wrapText="1"/>
    </xf>
    <xf numFmtId="164" fontId="22" fillId="11" borderId="4" applyAlignment="1" pivotButton="0" quotePrefix="0" xfId="0">
      <alignment horizontal="right" vertical="center" wrapText="1"/>
    </xf>
    <xf numFmtId="164" fontId="22" fillId="13" borderId="4" applyAlignment="1" pivotButton="0" quotePrefix="0" xfId="0">
      <alignment horizontal="right" vertical="center" wrapText="1"/>
    </xf>
    <xf numFmtId="9" fontId="22" fillId="12" borderId="4" applyAlignment="1" pivotButton="0" quotePrefix="0" xfId="0">
      <alignment horizontal="right" vertical="center" wrapText="1"/>
    </xf>
    <xf numFmtId="9" fontId="22" fillId="14" borderId="4" applyAlignment="1" pivotButton="0" quotePrefix="0" xfId="0">
      <alignment horizontal="right" vertical="center" wrapText="1"/>
    </xf>
    <xf numFmtId="166" fontId="22" fillId="13" borderId="4" applyAlignment="1" pivotButton="0" quotePrefix="0" xfId="0">
      <alignment horizontal="right" vertical="center" wrapText="1"/>
    </xf>
    <xf numFmtId="9" fontId="22" fillId="13" borderId="4" applyAlignment="1" pivotButton="0" quotePrefix="0" xfId="0">
      <alignment horizontal="right" vertical="center" wrapText="1"/>
    </xf>
    <xf numFmtId="9" fontId="20" fillId="10" borderId="4" applyAlignment="1" pivotButton="0" quotePrefix="0" xfId="0">
      <alignment horizontal="right" vertical="center" wrapText="1"/>
    </xf>
    <xf numFmtId="167" fontId="20" fillId="10" borderId="4" applyAlignment="1" pivotButton="0" quotePrefix="0" xfId="0">
      <alignment horizontal="right" vertical="center"/>
    </xf>
    <xf numFmtId="166" fontId="29" fillId="9" borderId="4" applyAlignment="1" pivotButton="0" quotePrefix="0" xfId="0">
      <alignment horizontal="right" vertical="center"/>
    </xf>
    <xf numFmtId="10" fontId="22" fillId="13" borderId="4" applyAlignment="1" pivotButton="0" quotePrefix="0" xfId="0">
      <alignment horizontal="right" vertical="center" wrapText="1"/>
    </xf>
    <xf numFmtId="0" fontId="31" fillId="9" borderId="4" applyAlignment="1" pivotButton="0" quotePrefix="0" xfId="0">
      <alignment horizontal="center" vertical="center" wrapText="1"/>
    </xf>
    <xf numFmtId="0" fontId="32" fillId="10" borderId="4" applyAlignment="1" pivotButton="0" quotePrefix="0" xfId="0">
      <alignment horizontal="center" vertical="center" wrapText="1"/>
    </xf>
    <xf numFmtId="0" fontId="33" fillId="12" borderId="4" applyAlignment="1" pivotButton="0" quotePrefix="0" xfId="0">
      <alignment horizontal="left" vertical="center" wrapText="1"/>
    </xf>
    <xf numFmtId="0" fontId="34" fillId="13" borderId="4" applyAlignment="1" pivotButton="0" quotePrefix="0" xfId="0">
      <alignment horizontal="left" vertical="center" wrapText="1"/>
    </xf>
    <xf numFmtId="0" fontId="33" fillId="14" borderId="4" applyAlignment="1" pivotButton="0" quotePrefix="0" xfId="0">
      <alignment horizontal="left" vertical="center" wrapText="1"/>
    </xf>
    <xf numFmtId="0" fontId="33" fillId="12" borderId="4" applyAlignment="1" pivotButton="0" quotePrefix="0" xfId="0">
      <alignment horizontal="right" vertical="center"/>
    </xf>
    <xf numFmtId="0" fontId="34" fillId="12" borderId="4" applyAlignment="1" pivotButton="0" quotePrefix="0" xfId="0">
      <alignment horizontal="center" vertical="center"/>
    </xf>
    <xf numFmtId="0" fontId="33" fillId="14" borderId="4" applyAlignment="1" pivotButton="0" quotePrefix="0" xfId="0">
      <alignment horizontal="right" vertical="center"/>
    </xf>
    <xf numFmtId="0" fontId="34" fillId="14" borderId="4" applyAlignment="1" pivotButton="0" quotePrefix="0" xfId="0">
      <alignment horizontal="center" vertical="center"/>
    </xf>
    <xf numFmtId="3" fontId="22" fillId="12" borderId="4" applyAlignment="1" pivotButton="0" quotePrefix="0" xfId="0">
      <alignment horizontal="right" vertical="center"/>
    </xf>
    <xf numFmtId="0" fontId="22" fillId="12" borderId="4" applyAlignment="1" pivotButton="0" quotePrefix="0" xfId="0">
      <alignment horizontal="right" vertical="center"/>
    </xf>
    <xf numFmtId="168" fontId="22" fillId="12" borderId="4" applyAlignment="1" pivotButton="0" quotePrefix="0" xfId="0">
      <alignment horizontal="left" vertical="center"/>
    </xf>
    <xf numFmtId="166" fontId="22" fillId="12" borderId="4" applyAlignment="1" pivotButton="0" quotePrefix="0" xfId="0">
      <alignment horizontal="right" vertical="center"/>
    </xf>
    <xf numFmtId="164" fontId="22" fillId="12" borderId="4" applyAlignment="1" pivotButton="0" quotePrefix="0" xfId="0">
      <alignment horizontal="right" vertical="center"/>
    </xf>
    <xf numFmtId="165" fontId="22" fillId="12" borderId="4" applyAlignment="1" pivotButton="0" quotePrefix="0" xfId="0">
      <alignment horizontal="right" vertical="center"/>
    </xf>
    <xf numFmtId="2" fontId="22" fillId="12" borderId="4" applyAlignment="1" pivotButton="0" quotePrefix="0" xfId="0">
      <alignment horizontal="right" vertical="center"/>
    </xf>
    <xf numFmtId="168" fontId="22" fillId="14" borderId="4" applyAlignment="1" pivotButton="0" quotePrefix="0" xfId="0">
      <alignment horizontal="left" vertical="center"/>
    </xf>
    <xf numFmtId="166" fontId="22" fillId="14" borderId="4" applyAlignment="1" pivotButton="0" quotePrefix="0" xfId="0">
      <alignment horizontal="right" vertical="center"/>
    </xf>
    <xf numFmtId="3" fontId="22" fillId="14" borderId="4" applyAlignment="1" pivotButton="0" quotePrefix="0" xfId="0">
      <alignment horizontal="right" vertical="center"/>
    </xf>
    <xf numFmtId="164" fontId="22" fillId="14" borderId="4" applyAlignment="1" pivotButton="0" quotePrefix="0" xfId="0">
      <alignment horizontal="right" vertical="center"/>
    </xf>
    <xf numFmtId="165" fontId="22" fillId="14" borderId="4" applyAlignment="1" pivotButton="0" quotePrefix="0" xfId="0">
      <alignment horizontal="right" vertical="center"/>
    </xf>
    <xf numFmtId="0" fontId="22" fillId="14" borderId="4" applyAlignment="1" pivotButton="0" quotePrefix="0" xfId="0">
      <alignment horizontal="right" vertical="center"/>
    </xf>
    <xf numFmtId="2" fontId="22" fillId="14" borderId="4" applyAlignment="1" pivotButton="0" quotePrefix="0" xfId="0">
      <alignment horizontal="right" vertical="center"/>
    </xf>
    <xf numFmtId="49" fontId="22" fillId="12" borderId="4" applyAlignment="1" pivotButton="0" quotePrefix="0" xfId="0">
      <alignment horizontal="right" vertical="center"/>
    </xf>
    <xf numFmtId="49" fontId="22" fillId="14" borderId="4" applyAlignment="1" pivotButton="0" quotePrefix="0" xfId="0">
      <alignment horizontal="right" vertical="center"/>
    </xf>
    <xf numFmtId="0" fontId="21" fillId="11" borderId="4" applyAlignment="1" pivotButton="0" quotePrefix="0" xfId="0">
      <alignment horizontal="right" vertical="center"/>
    </xf>
    <xf numFmtId="0" fontId="30" fillId="13" borderId="4" applyAlignment="1" pivotButton="0" quotePrefix="0" xfId="0">
      <alignment horizontal="right" vertical="center"/>
    </xf>
    <xf numFmtId="0" fontId="22" fillId="0" borderId="4" applyAlignment="1" pivotButton="0" quotePrefix="0" xfId="0">
      <alignment horizontal="left" vertical="center"/>
    </xf>
    <xf numFmtId="0" fontId="20" fillId="0" borderId="4" applyAlignment="1" pivotButton="0" quotePrefix="0" xfId="0">
      <alignment horizontal="right" vertical="center"/>
    </xf>
    <xf numFmtId="0" fontId="35" fillId="10" borderId="4" applyAlignment="1" pivotButton="0" quotePrefix="0" xfId="0">
      <alignment horizontal="center" vertical="center" wrapText="1"/>
    </xf>
    <xf numFmtId="0" fontId="35" fillId="10" borderId="4" applyAlignment="1" pivotButton="0" quotePrefix="0" xfId="0">
      <alignment horizontal="center" vertical="center"/>
    </xf>
    <xf numFmtId="0" fontId="36" fillId="12" borderId="4" applyAlignment="1" pivotButton="0" quotePrefix="0" xfId="0">
      <alignment horizontal="right" vertical="center"/>
    </xf>
    <xf numFmtId="0" fontId="35" fillId="10" borderId="4" applyAlignment="1" pivotButton="0" quotePrefix="0" xfId="0">
      <alignment horizontal="left" vertical="center"/>
    </xf>
    <xf numFmtId="166" fontId="35" fillId="10" borderId="4" applyAlignment="1" pivotButton="0" quotePrefix="0" xfId="0">
      <alignment horizontal="right" vertical="center"/>
    </xf>
    <xf numFmtId="3" fontId="35" fillId="10" borderId="4" applyAlignment="1" pivotButton="0" quotePrefix="0" xfId="0">
      <alignment horizontal="right" vertical="center"/>
    </xf>
    <xf numFmtId="0" fontId="35" fillId="11" borderId="4" applyAlignment="1" pivotButton="0" quotePrefix="0" xfId="0">
      <alignment horizontal="left" vertical="center"/>
    </xf>
    <xf numFmtId="166" fontId="35" fillId="11" borderId="4" applyAlignment="1" pivotButton="0" quotePrefix="0" xfId="0">
      <alignment horizontal="right" vertical="center"/>
    </xf>
    <xf numFmtId="3" fontId="35" fillId="11" borderId="4" applyAlignment="1" pivotButton="0" quotePrefix="0" xfId="0">
      <alignment horizontal="right" vertical="center"/>
    </xf>
    <xf numFmtId="0" fontId="37" fillId="12" borderId="0" applyAlignment="1" pivotButton="0" quotePrefix="0" xfId="0">
      <alignment horizontal="left" vertical="center"/>
    </xf>
    <xf numFmtId="0" fontId="37" fillId="13" borderId="0" applyAlignment="1" pivotButton="0" quotePrefix="0" xfId="0">
      <alignment horizontal="left" vertical="center"/>
    </xf>
    <xf numFmtId="0" fontId="37" fillId="12" borderId="0" applyAlignment="1" pivotButton="0" quotePrefix="0" xfId="0">
      <alignment horizontal="center" vertical="center"/>
    </xf>
    <xf numFmtId="0" fontId="37" fillId="14" borderId="0" applyAlignment="1" pivotButton="0" quotePrefix="0" xfId="0">
      <alignment horizontal="left" vertical="center"/>
    </xf>
    <xf numFmtId="0" fontId="37" fillId="14" borderId="0" applyAlignment="1" pivotButton="0" quotePrefix="0" xfId="0">
      <alignment horizontal="center" vertical="center"/>
    </xf>
    <xf numFmtId="0" fontId="22" fillId="12" borderId="7" applyAlignment="1" pivotButton="0" quotePrefix="0" xfId="0">
      <alignment horizontal="left" vertical="center"/>
    </xf>
    <xf numFmtId="3" fontId="22" fillId="12" borderId="7" applyAlignment="1" pivotButton="0" quotePrefix="0" xfId="0">
      <alignment horizontal="right" vertical="center"/>
    </xf>
    <xf numFmtId="0" fontId="22" fillId="12" borderId="7" applyAlignment="1" pivotButton="0" quotePrefix="0" xfId="0">
      <alignment horizontal="right" vertical="center"/>
    </xf>
    <xf numFmtId="0" fontId="22" fillId="12" borderId="7" applyAlignment="1" pivotButton="0" quotePrefix="0" xfId="0">
      <alignment horizontal="center" vertical="center"/>
    </xf>
    <xf numFmtId="0" fontId="3" fillId="2" borderId="0" applyAlignment="1" pivotButton="0" quotePrefix="0" xfId="0">
      <alignment vertical="center"/>
    </xf>
    <xf numFmtId="0" fontId="0" fillId="0" borderId="0" pivotButton="0" quotePrefix="0" xfId="0"/>
    <xf numFmtId="0" fontId="19" fillId="9" borderId="4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21" fillId="11" borderId="4" applyAlignment="1" pivotButton="0" quotePrefix="0" xfId="0">
      <alignment horizontal="left" vertical="center" wrapText="1"/>
    </xf>
    <xf numFmtId="0" fontId="25" fillId="11" borderId="4" applyAlignment="1" pivotButton="0" quotePrefix="0" xfId="0">
      <alignment horizontal="left" vertical="center" wrapText="1"/>
    </xf>
    <xf numFmtId="0" fontId="29" fillId="9" borderId="4" applyAlignment="1" pivotButton="0" quotePrefix="0" xfId="0">
      <alignment horizontal="center" vertical="center"/>
    </xf>
    <xf numFmtId="0" fontId="25" fillId="11" borderId="4" applyAlignment="1" pivotButton="0" quotePrefix="0" xfId="0">
      <alignment horizontal="center" vertical="center" wrapText="1"/>
    </xf>
    <xf numFmtId="0" fontId="24" fillId="10" borderId="4" applyAlignment="1" pivotButton="0" quotePrefix="0" xfId="0">
      <alignment horizontal="left" vertical="center"/>
    </xf>
    <xf numFmtId="0" fontId="24" fillId="10" borderId="4" applyAlignment="1" pivotButton="0" quotePrefix="0" xfId="0">
      <alignment horizontal="left" vertical="center" wrapText="1"/>
    </xf>
    <xf numFmtId="0" fontId="7" fillId="4" borderId="0" pivotButton="0" quotePrefix="0" xfId="0"/>
    <xf numFmtId="0" fontId="38" fillId="12" borderId="4" applyAlignment="1" pivotButton="0" quotePrefix="0" xfId="0">
      <alignment horizontal="left" vertical="center"/>
    </xf>
    <xf numFmtId="0" fontId="38" fillId="14" borderId="4" applyAlignment="1" pivotButton="0" quotePrefix="0" xfId="0">
      <alignment horizontal="left" vertical="center"/>
    </xf>
    <xf numFmtId="0" fontId="39" fillId="0" borderId="5" pivotButton="0" quotePrefix="0" xfId="0"/>
    <xf numFmtId="0" fontId="39" fillId="0" borderId="6" pivotButton="0" quotePrefix="0" xfId="0"/>
    <xf numFmtId="0" fontId="40" fillId="9" borderId="4" applyAlignment="1" pivotButton="0" quotePrefix="0" xfId="0">
      <alignment horizontal="left" vertical="center"/>
    </xf>
    <xf numFmtId="0" fontId="39" fillId="0" borderId="5" applyAlignment="1" pivotButton="0" quotePrefix="0" xfId="0">
      <alignment horizontal="left"/>
    </xf>
    <xf numFmtId="0" fontId="39" fillId="0" borderId="6" applyAlignment="1" pivotButton="0" quotePrefix="0" xfId="0">
      <alignment horizontal="left"/>
    </xf>
    <xf numFmtId="0" fontId="40" fillId="9" borderId="4" applyAlignment="1" pivotButton="0" quotePrefix="0" xfId="0">
      <alignment vertical="center"/>
    </xf>
    <xf numFmtId="0" fontId="39" fillId="0" borderId="5" applyAlignment="1" pivotButton="0" quotePrefix="0" xfId="0">
      <alignment vertical="center"/>
    </xf>
    <xf numFmtId="0" fontId="39" fillId="0" borderId="6" applyAlignment="1" pivotButton="0" quotePrefix="0" xfId="0">
      <alignment vertical="center"/>
    </xf>
    <xf numFmtId="0" fontId="41" fillId="10" borderId="4" applyAlignment="1" pivotButton="0" quotePrefix="0" xfId="0">
      <alignment horizontal="center" vertical="center" wrapText="1"/>
    </xf>
    <xf numFmtId="0" fontId="42" fillId="12" borderId="4" applyAlignment="1" pivotButton="0" quotePrefix="0" xfId="0">
      <alignment horizontal="left" vertical="center" wrapText="1"/>
    </xf>
    <xf numFmtId="0" fontId="42" fillId="14" borderId="4" applyAlignment="1" pivotButton="0" quotePrefix="0" xfId="0">
      <alignment horizontal="left" vertical="center" wrapText="1"/>
    </xf>
    <xf numFmtId="0" fontId="42" fillId="16" borderId="4" applyAlignment="1" pivotButton="0" quotePrefix="0" xfId="0">
      <alignment horizontal="left" vertical="center" wrapText="1"/>
    </xf>
    <xf numFmtId="0" fontId="22" fillId="16" borderId="4" applyAlignment="1" pivotButton="0" quotePrefix="0" xfId="0">
      <alignment horizontal="left" vertical="center"/>
    </xf>
    <xf numFmtId="0" fontId="19" fillId="9" borderId="9" applyAlignment="1" pivotButton="0" quotePrefix="0" xfId="0">
      <alignment horizontal="center" vertical="center"/>
    </xf>
    <xf numFmtId="0" fontId="19" fillId="9" borderId="5" applyAlignment="1" pivotButton="0" quotePrefix="0" xfId="0">
      <alignment horizontal="center" vertical="center"/>
    </xf>
    <xf numFmtId="0" fontId="35" fillId="10" borderId="9" applyAlignment="1" pivotButton="0" quotePrefix="0" xfId="0">
      <alignment horizontal="center" vertical="center"/>
    </xf>
    <xf numFmtId="0" fontId="36" fillId="12" borderId="9" applyAlignment="1" pivotButton="0" quotePrefix="0" xfId="0">
      <alignment horizontal="right" vertical="center"/>
    </xf>
    <xf numFmtId="0" fontId="0" fillId="0" borderId="8" pivotButton="0" quotePrefix="0" xfId="0"/>
    <xf numFmtId="0" fontId="20" fillId="0" borderId="8" applyAlignment="1" pivotButton="0" quotePrefix="0" xfId="0">
      <alignment horizontal="center" vertical="center"/>
    </xf>
    <xf numFmtId="0" fontId="30" fillId="0" borderId="8" applyAlignment="1" pivotButton="0" quotePrefix="0" xfId="0">
      <alignment horizontal="right" vertical="center"/>
    </xf>
    <xf numFmtId="0" fontId="39" fillId="3" borderId="0" applyAlignment="1" pivotButton="0" quotePrefix="0" xfId="0">
      <alignment horizontal="center" vertical="center"/>
    </xf>
    <xf numFmtId="0" fontId="39" fillId="10" borderId="4" applyAlignment="1" pivotButton="0" quotePrefix="0" xfId="0">
      <alignment horizontal="center" vertical="center" wrapText="1"/>
    </xf>
    <xf numFmtId="0" fontId="39" fillId="0" borderId="0" pivotButton="0" quotePrefix="0" xfId="0"/>
    <xf numFmtId="0" fontId="43" fillId="2" borderId="0" applyAlignment="1" pivotButton="0" quotePrefix="0" xfId="0">
      <alignment vertical="center"/>
    </xf>
    <xf numFmtId="0" fontId="44" fillId="9" borderId="4" applyAlignment="1" pivotButton="0" quotePrefix="0" xfId="0">
      <alignment horizontal="left" vertical="center"/>
    </xf>
    <xf numFmtId="0" fontId="36" fillId="14" borderId="4" applyAlignment="1" pivotButton="0" quotePrefix="0" xfId="0">
      <alignment horizontal="left" vertical="center" wrapText="1"/>
    </xf>
    <xf numFmtId="0" fontId="40" fillId="9" borderId="7" applyAlignment="1" pivotButton="0" quotePrefix="0" xfId="0">
      <alignment horizontal="left" vertical="center"/>
    </xf>
    <xf numFmtId="0" fontId="21" fillId="11" borderId="7" applyAlignment="1" pivotButton="0" quotePrefix="0" xfId="0">
      <alignment horizontal="left" vertical="center" wrapText="1"/>
    </xf>
    <xf numFmtId="0" fontId="40" fillId="9" borderId="7" applyAlignment="1" pivotButton="0" quotePrefix="0" xfId="0">
      <alignment vertical="center"/>
    </xf>
    <xf numFmtId="0" fontId="43" fillId="2" borderId="8" applyAlignment="1" pivotButton="0" quotePrefix="0" xfId="0">
      <alignment vertical="center"/>
    </xf>
    <xf numFmtId="0" fontId="3" fillId="2" borderId="8" applyAlignment="1" pivotButton="0" quotePrefix="0" xfId="0">
      <alignment vertical="center"/>
    </xf>
    <xf numFmtId="0" fontId="19" fillId="9" borderId="7" applyAlignment="1" pivotButton="0" quotePrefix="0" xfId="0">
      <alignment horizontal="left" vertical="center"/>
    </xf>
    <xf numFmtId="0" fontId="29" fillId="9" borderId="7" applyAlignment="1" pivotButton="0" quotePrefix="0" xfId="0">
      <alignment horizontal="center" vertical="center"/>
    </xf>
    <xf numFmtId="0" fontId="25" fillId="11" borderId="7" applyAlignment="1" pivotButton="0" quotePrefix="0" xfId="0">
      <alignment horizontal="center" vertical="center" wrapText="1"/>
    </xf>
    <xf numFmtId="0" fontId="25" fillId="11" borderId="7" applyAlignment="1" pivotButton="0" quotePrefix="0" xfId="0">
      <alignment horizontal="left" vertical="center" wrapText="1"/>
    </xf>
    <xf numFmtId="0" fontId="24" fillId="10" borderId="7" applyAlignment="1" pivotButton="0" quotePrefix="0" xfId="0">
      <alignment horizontal="left" vertical="center"/>
    </xf>
    <xf numFmtId="0" fontId="24" fillId="10" borderId="7" applyAlignment="1" pivotButton="0" quotePrefix="0" xfId="0">
      <alignment horizontal="left" vertical="center" wrapText="1"/>
    </xf>
    <xf numFmtId="0" fontId="44" fillId="9" borderId="7" applyAlignment="1" pivotButton="0" quotePrefix="0" xfId="0">
      <alignment horizontal="left" vertical="center"/>
    </xf>
    <xf numFmtId="0" fontId="7" fillId="4" borderId="8" pivotButton="0" quotePrefix="0" xfId="0"/>
    <xf numFmtId="0" fontId="45" fillId="17" borderId="12" applyAlignment="1" pivotButton="0" quotePrefix="0" xfId="0">
      <alignment horizontal="left" vertical="center"/>
    </xf>
    <xf numFmtId="0" fontId="45" fillId="18" borderId="12" applyAlignment="1" pivotButton="0" quotePrefix="0" xfId="0">
      <alignment horizontal="left" vertical="center"/>
    </xf>
    <xf numFmtId="167" fontId="45" fillId="17" borderId="12" applyAlignment="1" pivotButton="0" quotePrefix="0" xfId="0">
      <alignment horizontal="left" vertical="center"/>
    </xf>
    <xf numFmtId="10" fontId="45" fillId="17" borderId="12" applyAlignment="1" pivotButton="0" quotePrefix="0" xfId="0">
      <alignment horizontal="left" vertical="center"/>
    </xf>
    <xf numFmtId="166" fontId="45" fillId="17" borderId="12" applyAlignment="1" pivotButton="0" quotePrefix="0" xfId="0">
      <alignment horizontal="left" vertical="center"/>
    </xf>
    <xf numFmtId="164" fontId="45" fillId="17" borderId="12" applyAlignment="1" pivotButton="0" quotePrefix="0" xfId="0">
      <alignment horizontal="left" vertical="center"/>
    </xf>
    <xf numFmtId="0" fontId="46" fillId="19" borderId="12" applyAlignment="1" pivotButton="0" quotePrefix="0" xfId="0">
      <alignment horizontal="left" vertical="center"/>
    </xf>
    <xf numFmtId="0" fontId="47" fillId="20" borderId="12" applyAlignment="1" pivotButton="0" quotePrefix="0" xfId="0">
      <alignment horizontal="left" vertical="center"/>
    </xf>
    <xf numFmtId="0" fontId="48" fillId="19" borderId="0" pivotButton="0" quotePrefix="0" xfId="0"/>
    <xf numFmtId="0" fontId="45" fillId="17" borderId="12" pivotButton="0" quotePrefix="0" xfId="0"/>
    <xf numFmtId="0" fontId="49" fillId="18" borderId="12" pivotButton="0" quotePrefix="0" xfId="0"/>
    <xf numFmtId="0" fontId="0" fillId="0" borderId="12" pivotButton="0" quotePrefix="0" xfId="0"/>
    <xf numFmtId="0" fontId="0" fillId="21" borderId="0" pivotButton="0" quotePrefix="0" xfId="0"/>
    <xf numFmtId="0" fontId="50" fillId="21" borderId="0" pivotButton="0" quotePrefix="0" xfId="0"/>
    <xf numFmtId="0" fontId="50" fillId="21" borderId="2" pivotButton="0" quotePrefix="0" xfId="0"/>
    <xf numFmtId="0" fontId="50" fillId="21" borderId="2" applyAlignment="1" pivotButton="0" quotePrefix="0" xfId="0">
      <alignment horizontal="left"/>
    </xf>
    <xf numFmtId="0" fontId="51" fillId="21" borderId="0" pivotButton="0" quotePrefix="0" xfId="0"/>
    <xf numFmtId="0" fontId="51" fillId="21" borderId="2" pivotButton="0" quotePrefix="0" xfId="0"/>
    <xf numFmtId="0" fontId="51" fillId="21" borderId="2" applyAlignment="1" pivotButton="0" quotePrefix="0" xfId="0">
      <alignment wrapText="1"/>
    </xf>
    <xf numFmtId="0" fontId="51" fillId="21" borderId="2" applyAlignment="1" pivotButton="0" quotePrefix="0" xfId="0">
      <alignment horizontal="left" wrapText="1"/>
    </xf>
    <xf numFmtId="0" fontId="50" fillId="21" borderId="2" applyAlignment="1" pivotButton="0" quotePrefix="0" xfId="0">
      <alignment horizontal="center"/>
    </xf>
    <xf numFmtId="0" fontId="40" fillId="9" borderId="12" applyAlignment="1" pivotButton="0" quotePrefix="0" xfId="0">
      <alignment horizontal="left" vertical="center"/>
    </xf>
    <xf numFmtId="0" fontId="21" fillId="11" borderId="12" applyAlignment="1" pivotButton="0" quotePrefix="0" xfId="0">
      <alignment horizontal="left" vertical="center" wrapText="1"/>
    </xf>
    <xf numFmtId="0" fontId="40" fillId="9" borderId="12" applyAlignment="1" pivotButton="0" quotePrefix="0" xfId="0">
      <alignment vertical="center"/>
    </xf>
    <xf numFmtId="0" fontId="19" fillId="9" borderId="12" applyAlignment="1" pivotButton="0" quotePrefix="0" xfId="0">
      <alignment horizontal="left" vertical="center"/>
    </xf>
    <xf numFmtId="0" fontId="24" fillId="10" borderId="12" applyAlignment="1" pivotButton="0" quotePrefix="0" xfId="0">
      <alignment horizontal="left" vertical="center"/>
    </xf>
    <xf numFmtId="0" fontId="25" fillId="11" borderId="12" applyAlignment="1" pivotButton="0" quotePrefix="0" xfId="0">
      <alignment horizontal="left" vertical="center" wrapText="1"/>
    </xf>
    <xf numFmtId="0" fontId="24" fillId="10" borderId="12" applyAlignment="1" pivotButton="0" quotePrefix="0" xfId="0">
      <alignment horizontal="left" vertical="center" wrapText="1"/>
    </xf>
    <xf numFmtId="0" fontId="44" fillId="9" borderId="12" applyAlignment="1" pivotButton="0" quotePrefix="0" xfId="0">
      <alignment horizontal="left" vertical="center"/>
    </xf>
    <xf numFmtId="0" fontId="0" fillId="18" borderId="0" pivotButton="0" quotePrefix="0" xfId="0"/>
    <xf numFmtId="0" fontId="20" fillId="20" borderId="0" pivotButton="0" quotePrefix="0" xfId="0"/>
    <xf numFmtId="0" fontId="36" fillId="0" borderId="0" pivotButton="0" quotePrefix="0" xfId="0"/>
    <xf numFmtId="4" fontId="0" fillId="17" borderId="0" pivotButton="0" quotePrefix="0" xfId="0"/>
    <xf numFmtId="173" fontId="0" fillId="17" borderId="0" pivotButton="0" quotePrefix="0" xfId="0"/>
    <xf numFmtId="174" fontId="0" fillId="17" borderId="0" pivotButton="0" quotePrefix="0" xfId="0"/>
    <xf numFmtId="169" fontId="0" fillId="17" borderId="0" pivotButton="0" quotePrefix="0" xfId="0"/>
    <xf numFmtId="170" fontId="0" fillId="17" borderId="0" pivotButton="0" quotePrefix="0" xfId="0"/>
    <xf numFmtId="174" fontId="0" fillId="18" borderId="0" pivotButton="0" quotePrefix="0" xfId="0"/>
    <xf numFmtId="173" fontId="0" fillId="17" borderId="0" pivotButton="0" quotePrefix="0" xfId="0"/>
    <xf numFmtId="174" fontId="0" fillId="17" borderId="0" pivotButton="0" quotePrefix="0" xfId="0"/>
    <xf numFmtId="174" fontId="0" fillId="18" borderId="0" pivotButton="0" quotePrefix="0" xfId="0"/>
  </cellXfs>
  <cellStyles count="11">
    <cellStyle name="Normal" xfId="0"/>
    <cellStyle name="2" xfId="1"/>
    <cellStyle name="Comma 2" xfId="2"/>
    <cellStyle name="Comma 2 2" xfId="3"/>
    <cellStyle name="Comma 3" xfId="4"/>
    <cellStyle name="Currency 2" xfId="5"/>
    <cellStyle name="Normal 2" xfId="6"/>
    <cellStyle name="Normal 2 2" xfId="7"/>
    <cellStyle name="Normal 3" xfId="8"/>
    <cellStyle name="Percent 2" xfId="9"/>
    <cellStyle name="Percent 2 2" xfId="10"/>
  </cellStyles>
  <dxfs count="2">
    <dxf>
      <font>
        <name val="Calibri"/>
        <color rgb="FFC62828"/>
        <sz val="11"/>
      </font>
      <fill>
        <patternFill>
          <bgColor rgb="FFFDECEA"/>
        </patternFill>
      </fill>
    </dxf>
    <dxf>
      <font>
        <name val="Calibri"/>
        <color rgb="FF2E7D32"/>
        <sz val="11"/>
      </font>
      <fill>
        <patternFill>
          <bgColor rgb="FFE8F5E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88888"/>
      <rgbColor rgb="FF9999FF"/>
      <rgbColor rgb="FF6435B9"/>
      <rgbColor rgb="FFFFFFCC"/>
      <rgbColor rgb="FFEAE6F2"/>
      <rgbColor rgb="FF660066"/>
      <rgbColor rgb="FFFF8080"/>
      <rgbColor rgb="FF0066CC"/>
      <rgbColor rgb="FFD5CCE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595959"/>
      <rgbColor rgb="FF993300"/>
      <rgbColor rgb="FF582EA1"/>
      <rgbColor rgb="FF3F2A66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4"/>
  <sheetViews>
    <sheetView showGridLines="0" workbookViewId="0">
      <selection activeCell="A1" sqref="A1"/>
    </sheetView>
  </sheetViews>
  <sheetFormatPr baseColWidth="8" defaultRowHeight="13.19999980926514"/>
  <cols>
    <col width="30.33203125" customWidth="1" style="160" min="1" max="1"/>
    <col width="25" customWidth="1" style="160" min="2" max="2"/>
    <col width="44.5546875" customWidth="1" style="160" min="3" max="3"/>
    <col width="10" customWidth="1" style="160" min="4" max="4"/>
  </cols>
  <sheetData>
    <row r="1" ht="18" customHeight="1" s="160">
      <c r="A1" s="233" t="inlineStr">
        <is>
          <t>ASSIGNMENT INTAKE FORM</t>
        </is>
      </c>
      <c r="B1" s="162" t="n"/>
      <c r="C1" s="162" t="n"/>
      <c r="D1" s="163" t="n"/>
    </row>
    <row r="2" ht="16.04999923706055" customHeight="1" s="160">
      <c r="A2" s="181" t="inlineStr">
        <is>
          <t>Key</t>
        </is>
      </c>
      <c r="B2" s="181" t="inlineStr">
        <is>
          <t>Value  ←  fill here</t>
        </is>
      </c>
      <c r="C2" s="181" t="inlineStr">
        <is>
          <t>Hint</t>
        </is>
      </c>
      <c r="D2" s="181" t="inlineStr">
        <is>
          <t>Status</t>
        </is>
      </c>
    </row>
    <row r="3" ht="13.94999980926514" customHeight="1" s="160">
      <c r="A3" s="234" t="inlineStr">
        <is>
          <t>▶  EXPORT JSON  —  see ExportJSON_macro.txt to enable this button in Excel</t>
        </is>
      </c>
      <c r="B3" s="162" t="n"/>
      <c r="C3" s="162" t="n"/>
      <c r="D3" s="163" t="n"/>
    </row>
    <row r="4" ht="13.94999980926514" customHeight="1" s="160">
      <c r="A4" s="234" t="inlineStr">
        <is>
          <t>Output: {FILE_NO}_variables.json  in the same folder as this workbook</t>
        </is>
      </c>
      <c r="B4" s="162" t="n"/>
      <c r="C4" s="162" t="n"/>
      <c r="D4" s="163" t="n"/>
    </row>
    <row r="5" ht="18" customHeight="1" s="160">
      <c r="A5" s="233" t="inlineStr">
        <is>
          <t>ASSIGNMENT</t>
        </is>
      </c>
      <c r="B5" s="162" t="n"/>
      <c r="C5" s="162" t="n"/>
      <c r="D5" s="163" t="n"/>
    </row>
    <row r="6" ht="15" customHeight="1" s="160">
      <c r="A6" s="171" t="inlineStr">
        <is>
          <t>FILE_NO</t>
        </is>
      </c>
      <c r="B6" s="39" t="n"/>
      <c r="C6" s="182" t="inlineStr">
        <is>
          <t>e.g. DEMO-001</t>
        </is>
      </c>
      <c r="D6" s="41">
        <f>IF(B6&lt;&gt;"","✓","—")</f>
        <v/>
      </c>
    </row>
    <row r="7" ht="15" customHeight="1" s="160">
      <c r="A7" s="172" t="inlineStr">
        <is>
          <t>REPORT_DATE</t>
        </is>
      </c>
      <c r="B7" s="39" t="n"/>
      <c r="C7" s="183" t="inlineStr">
        <is>
          <t>e.g. June 26, 2026</t>
        </is>
      </c>
      <c r="D7" s="44">
        <f>IF(B7&lt;&gt;"","✓","—")</f>
        <v/>
      </c>
    </row>
    <row r="8" ht="15" customHeight="1" s="160">
      <c r="A8" s="171" t="inlineStr">
        <is>
          <t>ENGAGEMENT_DATE</t>
        </is>
      </c>
      <c r="B8" s="39" t="n"/>
      <c r="C8" s="182" t="inlineStr">
        <is>
          <t>e.g. June 26, 2026</t>
        </is>
      </c>
      <c r="D8" s="41">
        <f>IF(B8&lt;&gt;"","✓","—")</f>
        <v/>
      </c>
    </row>
    <row r="9" ht="15" customHeight="1" s="160">
      <c r="A9" s="172" t="inlineStr">
        <is>
          <t>EFFECTIVE_DATE</t>
        </is>
      </c>
      <c r="B9" s="39" t="n"/>
      <c r="C9" s="183" t="inlineStr">
        <is>
          <t>e.g. June 1, 2026</t>
        </is>
      </c>
      <c r="D9" s="44">
        <f>IF(B9&lt;&gt;"","✓","—")</f>
        <v/>
      </c>
    </row>
    <row r="10" ht="15" customHeight="1" s="160">
      <c r="A10" s="171" t="inlineStr">
        <is>
          <t>DELIVERY_DATE</t>
        </is>
      </c>
      <c r="B10" s="39" t="n"/>
      <c r="C10" s="182" t="inlineStr">
        <is>
          <t>e.g. July 10, 2026</t>
        </is>
      </c>
      <c r="D10" s="41">
        <f>IF(B10&lt;&gt;"","✓","—")</f>
        <v/>
      </c>
    </row>
    <row r="11" ht="15" customHeight="1" s="160">
      <c r="A11" s="172" t="inlineStr">
        <is>
          <t>TURNAROUND_DAYS</t>
        </is>
      </c>
      <c r="B11" s="39" t="n"/>
      <c r="C11" s="183" t="inlineStr">
        <is>
          <t>e.g. 10</t>
        </is>
      </c>
      <c r="D11" s="44">
        <f>IF(B11&lt;&gt;"","✓","—")</f>
        <v/>
      </c>
    </row>
    <row r="12" ht="18" customHeight="1" s="160">
      <c r="A12" s="233" t="inlineStr">
        <is>
          <t>CLIENT &amp; CONTACT</t>
        </is>
      </c>
      <c r="B12" s="162" t="n"/>
      <c r="C12" s="162" t="n"/>
      <c r="D12" s="163" t="n"/>
    </row>
    <row r="13" ht="15" customHeight="1" s="160">
      <c r="A13" s="42" t="inlineStr">
        <is>
          <t>CLIENT_NAME</t>
        </is>
      </c>
      <c r="B13" s="39" t="n"/>
      <c r="C13" s="183" t="inlineStr">
        <is>
          <t>Legal entity name</t>
        </is>
      </c>
      <c r="D13" s="44">
        <f>IF(B13&lt;&gt;"","✓","—")</f>
        <v/>
      </c>
    </row>
    <row r="14" ht="15" customHeight="1" s="160">
      <c r="A14" s="38" t="inlineStr">
        <is>
          <t>CONTACT_NAME</t>
        </is>
      </c>
      <c r="B14" s="39" t="n"/>
      <c r="C14" s="184" t="inlineStr">
        <is>
          <t>Full name</t>
        </is>
      </c>
      <c r="D14" s="41">
        <f>IF(B14&lt;&gt;"","✓","—")</f>
        <v/>
      </c>
    </row>
    <row r="15" ht="15" customHeight="1" s="160">
      <c r="A15" s="42" t="inlineStr">
        <is>
          <t>CONTACT_SALUTATION</t>
        </is>
      </c>
      <c r="B15" s="39" t="n"/>
      <c r="C15" s="183" t="inlineStr">
        <is>
          <t>e.g. Mr. Smith</t>
        </is>
      </c>
      <c r="D15" s="44">
        <f>IF(B15&lt;&gt;"","✓","—")</f>
        <v/>
      </c>
    </row>
    <row r="16" ht="15" customHeight="1" s="160">
      <c r="A16" s="38" t="inlineStr">
        <is>
          <t>CLIENT_ADDR1</t>
        </is>
      </c>
      <c r="B16" s="39" t="n"/>
      <c r="C16" s="184" t="inlineStr">
        <is>
          <t>Street address</t>
        </is>
      </c>
      <c r="D16" s="41">
        <f>IF(B16&lt;&gt;"","✓","—")</f>
        <v/>
      </c>
    </row>
    <row r="17" ht="15" customHeight="1" s="160">
      <c r="A17" s="42" t="inlineStr">
        <is>
          <t>CLIENT_ADDR2</t>
        </is>
      </c>
      <c r="B17" s="39" t="n"/>
      <c r="C17" s="183" t="inlineStr">
        <is>
          <t>City, State ZIP</t>
        </is>
      </c>
      <c r="D17" s="44">
        <f>IF(B17&lt;&gt;"","✓","—")</f>
        <v/>
      </c>
    </row>
    <row r="18" ht="15" customHeight="1" s="160">
      <c r="A18" s="38" t="inlineStr">
        <is>
          <t>INTENDED_USE</t>
        </is>
      </c>
      <c r="B18" s="39" t="n"/>
      <c r="C18" s="184" t="inlineStr">
        <is>
          <t>e.g. Mortgage financing</t>
        </is>
      </c>
      <c r="D18" s="41">
        <f>IF(B18&lt;&gt;"","✓","—")</f>
        <v/>
      </c>
    </row>
    <row r="19" ht="18" customHeight="1" s="160">
      <c r="A19" s="233" t="inlineStr">
        <is>
          <t>PROPERTY</t>
        </is>
      </c>
      <c r="B19" s="162" t="n"/>
      <c r="C19" s="162" t="n"/>
      <c r="D19" s="163" t="n"/>
    </row>
    <row r="20" ht="15" customHeight="1" s="160">
      <c r="A20" s="38" t="inlineStr">
        <is>
          <t>PROPERTY_ADDRESS</t>
        </is>
      </c>
      <c r="B20" s="39" t="n"/>
      <c r="C20" s="184" t="inlineStr">
        <is>
          <t>Street address</t>
        </is>
      </c>
      <c r="D20" s="41">
        <f>IF(B20&lt;&gt;"","✓","—")</f>
        <v/>
      </c>
    </row>
    <row r="21" ht="15" customHeight="1" s="160">
      <c r="A21" s="42" t="inlineStr">
        <is>
          <t>PROPERTY_CITY</t>
        </is>
      </c>
      <c r="B21" s="39" t="n"/>
      <c r="C21" s="183" t="inlineStr">
        <is>
          <t>e.g. Test Metro</t>
        </is>
      </c>
      <c r="D21" s="44">
        <f>IF(B21&lt;&gt;"","✓","—")</f>
        <v/>
      </c>
    </row>
    <row r="22" ht="15" customHeight="1" s="160">
      <c r="A22" s="38" t="inlineStr">
        <is>
          <t>PROPERTY_ZIP</t>
        </is>
      </c>
      <c r="B22" s="39" t="n"/>
      <c r="C22" s="184" t="inlineStr">
        <is>
          <t>e.g. 35203</t>
        </is>
      </c>
      <c r="D22" s="41">
        <f>IF(B22&lt;&gt;"","✓","—")</f>
        <v/>
      </c>
    </row>
    <row r="23" ht="15" customHeight="1" s="160">
      <c r="A23" s="42" t="inlineStr">
        <is>
          <t>PROPERTY_COUNTY</t>
        </is>
      </c>
      <c r="B23" s="39" t="n"/>
      <c r="C23" s="183" t="inlineStr">
        <is>
          <t>e.g. Example</t>
        </is>
      </c>
      <c r="D23" s="44">
        <f>IF(B23&lt;&gt;"","✓","—")</f>
        <v/>
      </c>
    </row>
    <row r="24" ht="15" customHeight="1" s="160">
      <c r="A24" s="38" t="inlineStr">
        <is>
          <t>PROPERTY_STATE</t>
        </is>
      </c>
      <c r="B24" s="39" t="n"/>
      <c r="C24" s="184" t="inlineStr">
        <is>
          <t>e.g. Alabama</t>
        </is>
      </c>
      <c r="D24" s="41" t="n"/>
    </row>
    <row r="25" ht="15" customHeight="1" s="160">
      <c r="A25" s="42" t="inlineStr">
        <is>
          <t>PARCEL_ID</t>
        </is>
      </c>
      <c r="B25" s="39" t="n"/>
      <c r="C25" s="183" t="inlineStr">
        <is>
          <t>Tax parcel number</t>
        </is>
      </c>
      <c r="D25" s="44">
        <f>IF(B24&lt;&gt;"","✓","—")</f>
        <v/>
      </c>
    </row>
    <row r="26" ht="15" customHeight="1" s="160">
      <c r="A26" s="38" t="inlineStr">
        <is>
          <t>PROPERTY_SUBTYPE_TABLE</t>
        </is>
      </c>
      <c r="B26" s="39" t="n"/>
      <c r="C26" s="184" t="inlineStr">
        <is>
          <t>e.g. Multi-Tenant Office</t>
        </is>
      </c>
      <c r="D26" s="41">
        <f>IF(B25&lt;&gt;"","✓","—")</f>
        <v/>
      </c>
    </row>
    <row r="27" ht="15" customHeight="1" s="160">
      <c r="A27" s="42" t="inlineStr">
        <is>
          <t>PROPERTY_RIGHTS</t>
        </is>
      </c>
      <c r="B27" s="39" t="n"/>
      <c r="C27" s="183" t="inlineStr">
        <is>
          <t>e.g. Fee Simple</t>
        </is>
      </c>
      <c r="D27" s="44">
        <f>IF(B26&lt;&gt;"","✓","—")</f>
        <v/>
      </c>
    </row>
    <row r="28" ht="18" customHeight="1" s="160">
      <c r="A28" s="233" t="inlineStr">
        <is>
          <t>REPORT_TYPE</t>
        </is>
      </c>
      <c r="B28" s="162" t="n"/>
      <c r="C28" s="162" t="n"/>
      <c r="D28" s="163" t="n"/>
    </row>
    <row r="29" ht="18" customHeight="1" s="160">
      <c r="A29" s="233" t="inlineStr">
        <is>
          <t>PHYSICAL CHARACTERISTICS</t>
        </is>
      </c>
      <c r="B29" s="162" t="n"/>
      <c r="C29" s="162" t="n"/>
      <c r="D29" s="163" t="n"/>
    </row>
    <row r="30" ht="15" customHeight="1" s="160">
      <c r="A30" s="38" t="inlineStr">
        <is>
          <t>YEAR_BUILT</t>
        </is>
      </c>
      <c r="B30" s="39" t="n"/>
      <c r="C30" s="184" t="inlineStr">
        <is>
          <t>e.g. 1985</t>
        </is>
      </c>
      <c r="D30" s="41">
        <f>IF(B29&lt;&gt;"","✓","—")</f>
        <v/>
      </c>
    </row>
    <row r="31" ht="15" customHeight="1" s="160">
      <c r="A31" s="42" t="inlineStr">
        <is>
          <t>YEAR_RENOVATED</t>
        </is>
      </c>
      <c r="B31" s="39" t="n"/>
      <c r="C31" s="183" t="inlineStr">
        <is>
          <t>Leave blank if N/A</t>
        </is>
      </c>
      <c r="D31" s="44">
        <f>IF(B30&lt;&gt;"","✓","—")</f>
        <v/>
      </c>
    </row>
    <row r="32" ht="15" customHeight="1" s="160">
      <c r="A32" s="38" t="inlineStr">
        <is>
          <t>GBA</t>
        </is>
      </c>
      <c r="B32" s="39" t="n"/>
      <c r="C32" s="184" t="inlineStr">
        <is>
          <t>Gross Building Area</t>
        </is>
      </c>
      <c r="D32" s="41">
        <f>IF(B31&lt;&gt;"","✓","—")</f>
        <v/>
      </c>
    </row>
    <row r="33" ht="15" customHeight="1" s="160">
      <c r="A33" s="42" t="inlineStr">
        <is>
          <t>NRA</t>
        </is>
      </c>
      <c r="B33" s="39" t="n"/>
      <c r="C33" s="183" t="inlineStr">
        <is>
          <t>Net Rentable Area</t>
        </is>
      </c>
      <c r="D33" s="44">
        <f>IF(B32&lt;&gt;"","✓","—")</f>
        <v/>
      </c>
    </row>
    <row r="34" ht="18" customHeight="1" s="160">
      <c r="A34" s="185" t="inlineStr">
        <is>
          <t>LAND_AREA_SF</t>
        </is>
      </c>
      <c r="B34" s="33" t="n"/>
      <c r="C34" s="184" t="n"/>
      <c r="D34" s="34">
        <f>IF(B33&lt;&gt;"","✓","—")</f>
        <v/>
      </c>
    </row>
    <row r="35" ht="18" customHeight="1" s="160">
      <c r="A35" s="42" t="inlineStr">
        <is>
          <t>LAND_AREA_AC</t>
        </is>
      </c>
      <c r="B35" s="33" t="n"/>
      <c r="C35" s="183" t="n"/>
      <c r="D35" s="34">
        <f>IF(B34&lt;&gt;"","✓","—")</f>
        <v/>
      </c>
    </row>
    <row r="36" ht="18" customHeight="1" s="160">
      <c r="A36" s="185" t="inlineStr">
        <is>
          <t>NUM_UNITS</t>
        </is>
      </c>
      <c r="B36" s="33" t="n"/>
      <c r="C36" s="184" t="n"/>
      <c r="D36" s="34">
        <f>IF(B35&lt;&gt;"","✓","—")</f>
        <v/>
      </c>
    </row>
    <row r="37" ht="18" customHeight="1" s="160">
      <c r="A37" s="42" t="inlineStr">
        <is>
          <t>NUM_FLOORS</t>
        </is>
      </c>
      <c r="B37" s="33" t="n"/>
      <c r="C37" s="183" t="n"/>
      <c r="D37" s="34">
        <f>IF(B36&lt;&gt;"","✓","—")</f>
        <v/>
      </c>
    </row>
    <row r="38" ht="15" customHeight="1" s="160">
      <c r="A38" s="185" t="inlineStr">
        <is>
          <t>OCCUPANCY_RATE</t>
        </is>
      </c>
      <c r="B38" s="39" t="n"/>
      <c r="C38" s="184" t="inlineStr">
        <is>
          <t>e.g. 85%</t>
        </is>
      </c>
      <c r="D38" s="41">
        <f>IF(B37&lt;&gt;"","✓","—")</f>
        <v/>
      </c>
    </row>
    <row r="39" ht="18" customHeight="1" s="160">
      <c r="A39" s="42" t="inlineStr">
        <is>
          <t>PARKING_SPACES</t>
        </is>
      </c>
      <c r="B39" s="33" t="n"/>
      <c r="C39" s="183" t="n"/>
      <c r="D39" s="34">
        <f>IF(B38&lt;&gt;"","✓","—")</f>
        <v/>
      </c>
    </row>
    <row r="40" ht="15" customHeight="1" s="160">
      <c r="A40" s="185" t="inlineStr">
        <is>
          <t>ZONING</t>
        </is>
      </c>
      <c r="B40" s="39" t="n"/>
      <c r="C40" s="184" t="inlineStr">
        <is>
          <t>e.g. B-2</t>
        </is>
      </c>
      <c r="D40" s="41">
        <f>IF(B39&lt;&gt;"","✓","—")</f>
        <v/>
      </c>
    </row>
    <row r="41" ht="22.04999923706055" customHeight="1" s="160">
      <c r="A41" s="42" t="inlineStr">
        <is>
          <t>LEGAL_DESCRIPTION</t>
        </is>
      </c>
    </row>
    <row r="42" ht="18" customHeight="1" s="160">
      <c r="A42" s="233" t="inlineStr">
        <is>
          <t>UTILITIES &amp; SITE SERVICES</t>
        </is>
      </c>
      <c r="B42" s="162" t="n"/>
      <c r="C42" s="162" t="n"/>
      <c r="D42" s="163" t="n"/>
    </row>
    <row r="43" ht="15" customHeight="1" s="160">
      <c r="A43" s="42" t="inlineStr">
        <is>
          <t>UTILITY_ELECTRIC</t>
        </is>
      </c>
      <c r="B43" s="39" t="n"/>
      <c r="C43" s="183" t="inlineStr">
        <is>
          <t>e.g. Example Electric Cooperative</t>
        </is>
      </c>
      <c r="D43" s="44" t="n"/>
    </row>
    <row r="44" ht="15" customHeight="1" s="160">
      <c r="A44" s="38" t="inlineStr">
        <is>
          <t>UTILITY_GAS</t>
        </is>
      </c>
      <c r="B44" s="39" t="n"/>
      <c r="C44" s="184" t="inlineStr">
        <is>
          <t>e.g. Example Gas Utility</t>
        </is>
      </c>
      <c r="D44" s="41" t="n"/>
    </row>
    <row r="45" ht="15" customHeight="1" s="160">
      <c r="A45" s="42" t="inlineStr">
        <is>
          <t>UTILITY_WATER</t>
        </is>
      </c>
      <c r="B45" s="39" t="n"/>
      <c r="C45" s="183" t="inlineStr">
        <is>
          <t>e.g. Test Metro Water Works</t>
        </is>
      </c>
      <c r="D45" s="44" t="n"/>
    </row>
    <row r="46" ht="15" customHeight="1" s="160">
      <c r="A46" s="38" t="inlineStr">
        <is>
          <t>UTILITY_SEWER</t>
        </is>
      </c>
      <c r="B46" s="39" t="n"/>
      <c r="C46" s="184" t="inlineStr">
        <is>
          <t>e.g. Example County</t>
        </is>
      </c>
      <c r="D46" s="41" t="n"/>
    </row>
    <row r="47" ht="15" customHeight="1" s="160">
      <c r="A47" s="42" t="inlineStr">
        <is>
          <t>UTILITY_TELECOM</t>
        </is>
      </c>
      <c r="B47" s="39" t="n"/>
      <c r="C47" s="183" t="inlineStr">
        <is>
          <t>e.g. Example Telecom</t>
        </is>
      </c>
      <c r="D47" s="44" t="n"/>
    </row>
    <row r="48" ht="15" customHeight="1" s="160">
      <c r="A48" s="38" t="inlineStr">
        <is>
          <t>FIRE_PROTECTION</t>
        </is>
      </c>
      <c r="B48" s="39" t="n"/>
      <c r="C48" s="184" t="inlineStr">
        <is>
          <t>e.g. Municipal / Volunteer</t>
        </is>
      </c>
      <c r="D48" s="41" t="n"/>
    </row>
    <row r="49" ht="15" customHeight="1" s="160">
      <c r="A49" s="42" t="inlineStr">
        <is>
          <t>SITE_LIGHTING</t>
        </is>
      </c>
      <c r="B49" s="39" t="n"/>
      <c r="C49" s="183" t="inlineStr">
        <is>
          <t>e.g. Present / None</t>
        </is>
      </c>
      <c r="D49" s="44" t="n"/>
    </row>
    <row r="50" ht="15" customHeight="1" s="160">
      <c r="A50" s="38" t="inlineStr">
        <is>
          <t>SIGNAGE</t>
        </is>
      </c>
      <c r="B50" s="39" t="n"/>
      <c r="C50" s="184" t="inlineStr">
        <is>
          <t>e.g. Present / None</t>
        </is>
      </c>
      <c r="D50" s="41" t="n"/>
    </row>
    <row r="51" ht="15" customHeight="1" s="160">
      <c r="A51" s="42" t="n"/>
      <c r="B51" s="39" t="n"/>
      <c r="C51" s="43" t="n"/>
      <c r="D51" s="44" t="n"/>
    </row>
    <row r="52" ht="15" customHeight="1" s="160">
      <c r="A52" s="38" t="n"/>
      <c r="B52" s="39" t="n"/>
      <c r="C52" s="40" t="n"/>
      <c r="D52" s="41" t="n"/>
    </row>
    <row r="53" ht="18" customHeight="1" s="160">
      <c r="A53" s="233" t="inlineStr">
        <is>
          <t>HIGHEST &amp; BEST USE</t>
        </is>
      </c>
      <c r="B53" s="162" t="n"/>
      <c r="C53" s="162" t="n"/>
      <c r="D53" s="163" t="n"/>
    </row>
    <row r="54" ht="22.04999923706055" customHeight="1" s="160">
      <c r="A54" s="35" t="inlineStr">
        <is>
          <t>HBU_TIMING</t>
        </is>
      </c>
    </row>
    <row r="55" ht="15" customHeight="1" s="160">
      <c r="A55" s="42" t="inlineStr">
        <is>
          <t>HBU_VACANT</t>
        </is>
      </c>
      <c r="B55" s="39" t="n"/>
      <c r="C55" s="183" t="inlineStr">
        <is>
          <t>e.g. Office Development</t>
        </is>
      </c>
      <c r="D55" s="44" t="n"/>
    </row>
    <row r="56" ht="15" customHeight="1" s="160">
      <c r="A56" s="38" t="inlineStr">
        <is>
          <t>HBU_IMPROVED</t>
        </is>
      </c>
      <c r="B56" s="39" t="n"/>
      <c r="C56" s="183" t="inlineStr">
        <is>
          <t>e.g. Continued Office Use</t>
        </is>
      </c>
      <c r="D56" s="41" t="n"/>
    </row>
    <row r="57" ht="15" customHeight="1" s="160">
      <c r="A57" s="42" t="inlineStr">
        <is>
          <t>HBU_USER</t>
        </is>
      </c>
      <c r="B57" s="39" t="n"/>
      <c r="C57" s="183" t="inlineStr">
        <is>
          <t>Likely user description</t>
        </is>
      </c>
      <c r="D57" s="44" t="n"/>
    </row>
    <row r="58" ht="15" customHeight="1" s="160">
      <c r="A58" s="38" t="inlineStr">
        <is>
          <t>HBU_BUYER_VACANT</t>
        </is>
      </c>
      <c r="B58" s="39" t="n"/>
      <c r="C58" s="183" t="inlineStr">
        <is>
          <t>Likely buyer if vacant</t>
        </is>
      </c>
      <c r="D58" s="41" t="n"/>
    </row>
    <row r="59" ht="15" customHeight="1" s="160">
      <c r="A59" s="42" t="inlineStr">
        <is>
          <t>HBU_BUYER_IMPROVED</t>
        </is>
      </c>
      <c r="B59" s="39" t="n"/>
      <c r="C59" s="183" t="inlineStr">
        <is>
          <t>Likely buyer if improved</t>
        </is>
      </c>
      <c r="D59" s="44" t="n"/>
    </row>
    <row r="60" ht="15" customHeight="1" s="160">
      <c r="A60" s="38" t="n"/>
      <c r="B60" s="39" t="n"/>
      <c r="C60" s="40" t="n"/>
      <c r="D60" s="41" t="n"/>
    </row>
    <row r="61" ht="18" customHeight="1" s="160">
      <c r="A61" s="233" t="inlineStr">
        <is>
          <t>VALUATION APPROACHES</t>
        </is>
      </c>
      <c r="B61" s="162" t="n"/>
      <c r="C61" s="162" t="n"/>
      <c r="D61" s="163" t="n"/>
    </row>
    <row r="62" ht="15" customHeight="1" s="160">
      <c r="A62" s="38" t="inlineStr">
        <is>
          <t>VALUE_TYPE</t>
        </is>
      </c>
      <c r="B62" s="39" t="n"/>
      <c r="C62" s="183" t="inlineStr">
        <is>
          <t>e.g. As-Is Market Value</t>
        </is>
      </c>
      <c r="D62" s="41" t="n"/>
    </row>
    <row r="63" ht="15" customHeight="1" s="160">
      <c r="A63" s="42" t="inlineStr">
        <is>
          <t>VALUE_TYPE_SHORT</t>
        </is>
      </c>
      <c r="B63" s="39" t="n"/>
      <c r="C63" s="183" t="inlineStr">
        <is>
          <t>e.g. As-Is</t>
        </is>
      </c>
      <c r="D63" s="44" t="n"/>
    </row>
    <row r="64" ht="15" customHeight="1" s="160">
      <c r="A64" s="38" t="inlineStr">
        <is>
          <t>CA_WEIGHT</t>
        </is>
      </c>
      <c r="B64" s="39" t="n"/>
      <c r="C64" s="183" t="inlineStr">
        <is>
          <t>e.g. 0 or N/A</t>
        </is>
      </c>
      <c r="D64" s="41" t="n"/>
    </row>
    <row r="65" ht="15" customHeight="1" s="160">
      <c r="A65" s="42" t="inlineStr">
        <is>
          <t>SCA_WEIGHT</t>
        </is>
      </c>
      <c r="B65" s="39" t="n"/>
      <c r="C65" s="183" t="inlineStr">
        <is>
          <t>e.g. 60%</t>
        </is>
      </c>
      <c r="D65" s="44" t="n"/>
    </row>
    <row r="66" ht="15" customHeight="1" s="160">
      <c r="A66" s="38" t="inlineStr">
        <is>
          <t>IA_WEIGHT</t>
        </is>
      </c>
      <c r="B66" s="39" t="n"/>
      <c r="C66" s="183" t="inlineStr">
        <is>
          <t>e.g. 40%</t>
        </is>
      </c>
      <c r="D66" s="41" t="n"/>
    </row>
    <row r="67" ht="22.04999923706055" customHeight="1" s="160">
      <c r="A67" s="38" t="inlineStr">
        <is>
          <t>CA_DEVELOPED</t>
        </is>
      </c>
    </row>
    <row r="68" ht="18" customHeight="1" s="160">
      <c r="A68" s="38" t="inlineStr">
        <is>
          <t>SCA_DEVELOPED</t>
        </is>
      </c>
      <c r="B68" s="33" t="n"/>
      <c r="C68" s="183" t="n"/>
      <c r="D68" s="34">
        <f>IF(B43&lt;&gt;"","✓","—")</f>
        <v/>
      </c>
    </row>
    <row r="69" ht="18" customHeight="1" s="160">
      <c r="A69" s="38" t="inlineStr">
        <is>
          <t>IA_DEVELOPED</t>
        </is>
      </c>
      <c r="B69" s="33" t="n"/>
      <c r="C69" s="183" t="n"/>
      <c r="D69" s="34">
        <f>IF(B44&lt;&gt;"","✓","—")</f>
        <v/>
      </c>
    </row>
    <row r="70" ht="15" customHeight="1" s="160">
      <c r="A70" s="38" t="inlineStr">
        <is>
          <t>VALUE_CONCLUSION</t>
        </is>
      </c>
      <c r="B70" s="39" t="n"/>
      <c r="C70" s="183" t="inlineStr">
        <is>
          <t>e.g. $1,375,000</t>
        </is>
      </c>
      <c r="D70" s="41">
        <f>IF(B45&lt;&gt;"","✓","—")</f>
        <v/>
      </c>
    </row>
    <row r="71" ht="15" customHeight="1" s="160">
      <c r="A71" s="38" t="inlineStr">
        <is>
          <t>VALUE_WORDS</t>
        </is>
      </c>
      <c r="B71" s="39" t="n"/>
      <c r="C71" s="183" t="inlineStr">
        <is>
          <t>e.g. ONE MILLION...</t>
        </is>
      </c>
      <c r="D71" s="44">
        <f>IF(B46&lt;&gt;"","✓","—")</f>
        <v/>
      </c>
    </row>
    <row r="72" ht="22.04999923706055" customHeight="1" s="160">
      <c r="A72" s="38" t="inlineStr">
        <is>
          <t>VALUE_WORDS_FORMAL</t>
        </is>
      </c>
      <c r="B72" s="227">
        <f>IF(B71="","",PROPER(B71))</f>
        <v/>
      </c>
      <c r="C72" s="231" t="inlineStr">
        <is>
          <t>Derived automatically from VALUE_WORDS</t>
        </is>
      </c>
      <c r="D72" s="232">
        <f>IF(B72&lt;&gt;"","✓","—")</f>
        <v/>
      </c>
    </row>
    <row r="73" ht="18" customHeight="1" s="160">
      <c r="A73" s="38" t="inlineStr">
        <is>
          <t>SCA_VALUE</t>
        </is>
      </c>
      <c r="B73" s="33" t="n"/>
      <c r="C73" s="183" t="n"/>
      <c r="D73" s="34">
        <f>IF(B48&lt;&gt;"","✓","—")</f>
        <v/>
      </c>
    </row>
    <row r="74" ht="18" customHeight="1" s="160">
      <c r="A74" s="38" t="inlineStr">
        <is>
          <t>IA_VALUE</t>
        </is>
      </c>
      <c r="B74" s="33" t="n"/>
      <c r="C74" s="183" t="n"/>
      <c r="D74" s="34">
        <f>IF(B49&lt;&gt;"","✓","—")</f>
        <v/>
      </c>
    </row>
    <row r="75" ht="15" customHeight="1" s="160">
      <c r="A75" s="38" t="inlineStr">
        <is>
          <t>IA_STABILIZED_VALUE</t>
        </is>
      </c>
      <c r="B75" s="39" t="n"/>
      <c r="C75" s="183" t="inlineStr">
        <is>
          <t>If different</t>
        </is>
      </c>
      <c r="D75" s="44">
        <f>IF(B50&lt;&gt;"","✓","—")</f>
        <v/>
      </c>
    </row>
    <row r="76" ht="15" customHeight="1" s="160">
      <c r="A76" s="38" t="inlineStr">
        <is>
          <t>CAP_RATE</t>
        </is>
      </c>
      <c r="B76" s="39" t="n"/>
      <c r="C76" s="183" t="inlineStr">
        <is>
          <t>e.g. 9.50%</t>
        </is>
      </c>
      <c r="D76" s="41">
        <f>IF(B51&lt;&gt;"","✓","—")</f>
        <v/>
      </c>
    </row>
    <row r="77" ht="15" customHeight="1" s="160">
      <c r="A77" s="38" t="inlineStr">
        <is>
          <t>MARKETING_TIME</t>
        </is>
      </c>
      <c r="B77" s="39" t="n"/>
      <c r="C77" s="183" t="inlineStr">
        <is>
          <t>e.g. Six to Twelve Months</t>
        </is>
      </c>
      <c r="D77" s="44">
        <f>IF(B52&lt;&gt;"","✓","—")</f>
        <v/>
      </c>
    </row>
    <row r="78" ht="15" customHeight="1" s="160">
      <c r="A78" s="38" t="inlineStr">
        <is>
          <t>EXPOSURE_TIME</t>
        </is>
      </c>
      <c r="B78" s="39" t="n"/>
      <c r="C78" s="183" t="inlineStr">
        <is>
          <t>e.g. Six to Twelve Months</t>
        </is>
      </c>
      <c r="D78" s="41">
        <f>IF(B53&lt;&gt;"","✓","—")</f>
        <v/>
      </c>
    </row>
    <row r="79" ht="18" customHeight="1" s="160">
      <c r="A79" s="233" t="inlineStr">
        <is>
          <t>INCOME</t>
        </is>
      </c>
      <c r="B79" s="162" t="n"/>
      <c r="C79" s="162" t="n"/>
      <c r="D79" s="163" t="n"/>
    </row>
    <row r="80" ht="15" customHeight="1" s="160">
      <c r="A80" s="38" t="inlineStr">
        <is>
          <t>MARKET_RENT_PSF</t>
        </is>
      </c>
      <c r="B80" s="39" t="n"/>
      <c r="C80" s="183" t="inlineStr">
        <is>
          <t>e.g. $12.00</t>
        </is>
      </c>
      <c r="D80" s="41">
        <f>IF(B55&lt;&gt;"","✓","—")</f>
        <v/>
      </c>
    </row>
    <row r="81" ht="15" customHeight="1" s="160">
      <c r="A81" s="42" t="inlineStr">
        <is>
          <t>OWNER_OCC_SF</t>
        </is>
      </c>
      <c r="B81" s="39" t="n"/>
      <c r="C81" s="183" t="inlineStr">
        <is>
          <t>0 if none</t>
        </is>
      </c>
      <c r="D81" s="44">
        <f>IF(B56&lt;&gt;"","✓","—")</f>
        <v/>
      </c>
    </row>
    <row r="82" ht="15" customHeight="1" s="160">
      <c r="A82" s="38" t="inlineStr">
        <is>
          <t>OCCUPANCY_PERCENT</t>
        </is>
      </c>
      <c r="B82" s="39" t="n"/>
      <c r="C82" s="183" t="inlineStr">
        <is>
          <t>e.g. 85%</t>
        </is>
      </c>
      <c r="D82" s="41">
        <f>IF(B57&lt;&gt;"","✓","—")</f>
        <v/>
      </c>
    </row>
    <row r="83" ht="15" customHeight="1" s="160">
      <c r="A83" s="42" t="inlineStr">
        <is>
          <t>PGI</t>
        </is>
      </c>
      <c r="B83" s="39" t="n"/>
      <c r="C83" s="183" t="inlineStr">
        <is>
          <t>e.g. $272,016</t>
        </is>
      </c>
      <c r="D83" s="44">
        <f>IF(B58&lt;&gt;"","✓","—")</f>
        <v/>
      </c>
    </row>
    <row r="84" ht="15" customHeight="1" s="160">
      <c r="A84" s="38" t="inlineStr">
        <is>
          <t>EGI</t>
        </is>
      </c>
      <c r="B84" s="39" t="n"/>
      <c r="C84" s="183" t="inlineStr">
        <is>
          <t>e.g. $231,214</t>
        </is>
      </c>
      <c r="D84" s="41">
        <f>IF(B59&lt;&gt;"","✓","—")</f>
        <v/>
      </c>
    </row>
    <row r="85" ht="15" customHeight="1" s="160">
      <c r="A85" s="42" t="inlineStr">
        <is>
          <t>NOI</t>
        </is>
      </c>
      <c r="B85" s="39" t="n"/>
      <c r="C85" s="183" t="inlineStr">
        <is>
          <t>e.g. $130,484</t>
        </is>
      </c>
      <c r="D85" s="44">
        <f>IF(B60&lt;&gt;"","✓","—")</f>
        <v/>
      </c>
    </row>
    <row r="86" ht="18" customHeight="1" s="160">
      <c r="A86" s="233" t="inlineStr">
        <is>
          <t>TAX &amp; LEGAL</t>
        </is>
      </c>
      <c r="B86" s="162" t="n"/>
      <c r="C86" s="162" t="n"/>
      <c r="D86" s="163" t="n"/>
    </row>
    <row r="87" ht="15" customHeight="1" s="160">
      <c r="A87" s="42" t="inlineStr">
        <is>
          <t>TAX_YEAR</t>
        </is>
      </c>
      <c r="B87" s="39" t="n"/>
      <c r="C87" s="183" t="inlineStr">
        <is>
          <t>e.g. 2024</t>
        </is>
      </c>
      <c r="D87" s="44" t="n"/>
    </row>
    <row r="88" ht="15" customHeight="1" s="160">
      <c r="A88" s="38" t="inlineStr">
        <is>
          <t>ASSESSMENT_RATIO</t>
        </is>
      </c>
      <c r="B88" s="39" t="n"/>
      <c r="C88" s="183" t="inlineStr">
        <is>
          <t>e.g. 20%</t>
        </is>
      </c>
      <c r="D88" s="41" t="n"/>
    </row>
    <row r="89" ht="13.80000019073486" customHeight="1" s="160">
      <c r="A89" s="38" t="inlineStr">
        <is>
          <t>ASSESSED_VALUE</t>
        </is>
      </c>
      <c r="B89" s="33" t="n"/>
      <c r="C89" s="183" t="n"/>
      <c r="D89" s="34">
        <f>IF(B62&lt;&gt;"","✓","—")</f>
        <v/>
      </c>
    </row>
    <row r="90" ht="13.80000019073486" customHeight="1" s="160">
      <c r="A90" s="38" t="inlineStr">
        <is>
          <t>ASSESSOR_VALUE</t>
        </is>
      </c>
      <c r="B90" s="33" t="n"/>
      <c r="C90" s="183" t="n"/>
      <c r="D90" s="34">
        <f>IF(B63&lt;&gt;"","✓","—")</f>
        <v/>
      </c>
    </row>
    <row r="91" ht="13.80000019073486" customHeight="1" s="160">
      <c r="A91" s="38" t="inlineStr">
        <is>
          <t>INDICATED_TAX</t>
        </is>
      </c>
      <c r="B91" s="33" t="n"/>
      <c r="C91" s="183" t="n"/>
      <c r="D91" s="34">
        <f>IF(B64&lt;&gt;"","✓","—")</f>
        <v/>
      </c>
    </row>
    <row r="92" ht="13.80000019073486" customHeight="1" s="160">
      <c r="A92" s="38" t="inlineStr">
        <is>
          <t>MILLAGE_RATE</t>
        </is>
      </c>
      <c r="B92" s="33" t="n"/>
      <c r="C92" s="183" t="n"/>
      <c r="D92" s="34">
        <f>IF(B65&lt;&gt;"","✓","—")</f>
        <v/>
      </c>
    </row>
    <row r="93" ht="13.80000019073486" customHeight="1" s="160">
      <c r="A93" s="38" t="inlineStr">
        <is>
          <t>ACTUAL_TAX</t>
        </is>
      </c>
      <c r="B93" s="33" t="n"/>
      <c r="C93" s="183" t="n"/>
      <c r="D93" s="34">
        <f>IF(B66&lt;&gt;"","✓","—")</f>
        <v/>
      </c>
    </row>
    <row r="94" ht="18" customHeight="1" s="160">
      <c r="A94" s="233" t="inlineStr">
        <is>
          <t>ENGAGEMENT &amp; FEE</t>
        </is>
      </c>
      <c r="B94" s="162" t="n"/>
      <c r="C94" s="162" t="n"/>
      <c r="D94" s="163" t="n"/>
    </row>
    <row r="95" ht="15" customHeight="1" s="160">
      <c r="A95" s="42" t="inlineStr">
        <is>
          <t>FEE_AMOUNT</t>
        </is>
      </c>
      <c r="B95" s="39" t="n"/>
      <c r="C95" s="183" t="inlineStr">
        <is>
          <t>e.g. $3,500</t>
        </is>
      </c>
      <c r="D95" s="44">
        <f>IF(B68&lt;&gt;"","✓","—")</f>
        <v/>
      </c>
    </row>
    <row r="96" ht="15" customHeight="1" s="160">
      <c r="A96" s="38" t="inlineStr">
        <is>
          <t>HOURLY_RATE</t>
        </is>
      </c>
      <c r="B96" s="39" t="n"/>
      <c r="C96" s="183" t="inlineStr">
        <is>
          <t>e.g. $200/hour</t>
        </is>
      </c>
      <c r="D96" s="41">
        <f>IF(B69&lt;&gt;"","✓","—")</f>
        <v/>
      </c>
    </row>
    <row r="97" ht="15" customHeight="1" s="160">
      <c r="A97" s="42" t="inlineStr">
        <is>
          <t>PAYMENT_TERMS</t>
        </is>
      </c>
      <c r="B97" s="39" t="n"/>
      <c r="C97" s="183" t="inlineStr">
        <is>
          <t>e.g. Due upon delivery</t>
        </is>
      </c>
      <c r="D97" s="44">
        <f>IF(B70&lt;&gt;"","✓","—")</f>
        <v/>
      </c>
    </row>
    <row r="98" ht="15" customHeight="1" s="160">
      <c r="A98" s="38" t="inlineStr">
        <is>
          <t>INSPECTION_DURATION</t>
        </is>
      </c>
      <c r="B98" s="39" t="n"/>
      <c r="C98" s="183" t="inlineStr">
        <is>
          <t>e.g. one to two hours</t>
        </is>
      </c>
      <c r="D98" s="41">
        <f>IF(B71&lt;&gt;"","✓","—")</f>
        <v/>
      </c>
    </row>
    <row r="99" ht="18" customHeight="1" s="160">
      <c r="A99" s="233" t="inlineStr">
        <is>
          <t>INVOICE</t>
        </is>
      </c>
      <c r="B99" s="162" t="n"/>
      <c r="C99" s="162" t="n"/>
      <c r="D99" s="163" t="n"/>
    </row>
    <row r="100" ht="15" customHeight="1" s="160">
      <c r="A100" s="38" t="inlineStr">
        <is>
          <t>INVOICE_NO</t>
        </is>
      </c>
      <c r="B100" s="39" t="n"/>
      <c r="C100" s="183" t="inlineStr">
        <is>
          <t>e.g. INV-DEMO-001</t>
        </is>
      </c>
      <c r="D100" s="41">
        <f>IF(B73&lt;&gt;"","✓","—")</f>
        <v/>
      </c>
    </row>
    <row r="101" ht="15" customHeight="1" s="160">
      <c r="A101" s="42" t="inlineStr">
        <is>
          <t>INVOICE_DATE</t>
        </is>
      </c>
      <c r="B101" s="39" t="n"/>
      <c r="C101" s="183" t="inlineStr">
        <is>
          <t>e.g. July 10, 2026</t>
        </is>
      </c>
      <c r="D101" s="44">
        <f>IF(B74&lt;&gt;"","✓","—")</f>
        <v/>
      </c>
    </row>
    <row r="102" ht="15" customHeight="1" s="160">
      <c r="A102" s="38" t="inlineStr">
        <is>
          <t>INVOICE_TOTAL</t>
        </is>
      </c>
      <c r="B102" s="39" t="n"/>
      <c r="C102" s="183" t="inlineStr">
        <is>
          <t>Usually = FEE_AMOUNT</t>
        </is>
      </c>
      <c r="D102" s="41">
        <f>IF(B75&lt;&gt;"","✓","—")</f>
        <v/>
      </c>
    </row>
    <row r="103" ht="15" customHeight="1" s="160">
      <c r="A103" s="42" t="inlineStr">
        <is>
          <t>DUE_DATE</t>
        </is>
      </c>
      <c r="B103" s="39" t="n"/>
      <c r="C103" s="183" t="inlineStr">
        <is>
          <t>e.g. July 24, 2026</t>
        </is>
      </c>
      <c r="D103" s="44">
        <f>IF(B76&lt;&gt;"","✓","—")</f>
        <v/>
      </c>
    </row>
    <row r="104" ht="15" customHeight="1" s="160">
      <c r="A104" s="38" t="inlineStr">
        <is>
          <t>SERVICE_DESCRIPTION</t>
        </is>
      </c>
      <c r="B104" s="39" t="n"/>
      <c r="C104" s="183" t="inlineStr">
        <is>
          <t>One-line service desc</t>
        </is>
      </c>
      <c r="D104" s="41">
        <f>IF(B77&lt;&gt;"","✓","—")</f>
        <v/>
      </c>
    </row>
    <row r="105" ht="15" customHeight="1" s="160">
      <c r="A105" s="42" t="inlineStr">
        <is>
          <t>ADDL_SERVICES</t>
        </is>
      </c>
      <c r="B105" s="39" t="n"/>
      <c r="C105" s="183" t="inlineStr">
        <is>
          <t>Leave blank if N/A</t>
        </is>
      </c>
      <c r="D105" s="44">
        <f>IF(B78&lt;&gt;"","✓","—")</f>
        <v/>
      </c>
    </row>
    <row r="106" ht="15" customHeight="1" s="160">
      <c r="A106" s="38" t="inlineStr">
        <is>
          <t>ADDL_FEE</t>
        </is>
      </c>
      <c r="B106" s="39" t="n"/>
      <c r="C106" s="183" t="inlineStr">
        <is>
          <t>Leave blank if N/A</t>
        </is>
      </c>
      <c r="D106" s="41">
        <f>IF(B79&lt;&gt;"","✓","—")</f>
        <v/>
      </c>
    </row>
    <row r="107" ht="15" customHeight="1" s="160">
      <c r="A107" s="42" t="inlineStr">
        <is>
          <t>REMIT_ADDRESS</t>
        </is>
      </c>
      <c r="B107" s="39" t="n"/>
      <c r="C107" s="183" t="inlineStr">
        <is>
          <t>e.g. P.O. Box...</t>
        </is>
      </c>
      <c r="D107" s="44">
        <f>IF(B80&lt;&gt;"","✓","—")</f>
        <v/>
      </c>
    </row>
    <row r="108" ht="15" customHeight="1" s="160">
      <c r="A108" s="38" t="inlineStr">
        <is>
          <t>INVOICE_NOTES</t>
        </is>
      </c>
      <c r="B108" s="39" t="n"/>
      <c r="C108" s="183" t="inlineStr">
        <is>
          <t>Optional note to client</t>
        </is>
      </c>
      <c r="D108" s="41">
        <f>IF(B81&lt;&gt;"","✓","—")</f>
        <v/>
      </c>
    </row>
    <row r="110" ht="18" customHeight="1" s="160">
      <c r="A110" s="233" t="inlineStr">
        <is>
          <t>PROPERTY &amp; OWNERSHIP</t>
        </is>
      </c>
      <c r="B110" s="162" t="n"/>
      <c r="C110" s="162" t="n"/>
      <c r="D110" s="163" t="n"/>
    </row>
    <row r="111" ht="17.39999961853027" customHeight="1" s="160">
      <c r="A111" s="150" t="inlineStr">
        <is>
          <t>OWNER_NAME</t>
        </is>
      </c>
      <c r="B111" s="151" t="n"/>
      <c r="C111" s="183" t="inlineStr">
        <is>
          <t>Current owner of record</t>
        </is>
      </c>
      <c r="D111" s="152">
        <f>IF(B111&lt;&gt;"","✓","—")</f>
        <v/>
      </c>
    </row>
    <row r="112" ht="17.39999961853027" customHeight="1" s="160">
      <c r="A112" s="153" t="inlineStr">
        <is>
          <t>PROPERTY_CLASS</t>
        </is>
      </c>
      <c r="B112" s="151" t="n"/>
      <c r="C112" s="183" t="inlineStr">
        <is>
          <t>e.g. Class A / Class B / Class C</t>
        </is>
      </c>
      <c r="D112" s="154">
        <f>IF(B112&lt;&gt;"","✓","—")</f>
        <v/>
      </c>
    </row>
    <row r="113" ht="16.79999923706055" customHeight="1" s="160">
      <c r="A113" s="150" t="inlineStr">
        <is>
          <t>SUBMARKET</t>
        </is>
      </c>
      <c r="B113" s="151" t="n"/>
      <c r="C113" s="183" t="inlineStr">
        <is>
          <t>e.g. Sample City / Demo Hills / Downtown</t>
        </is>
      </c>
      <c r="D113" s="152">
        <f>IF(B113&lt;&gt;"","✓","—")</f>
        <v/>
      </c>
    </row>
    <row r="114" ht="17.39999961853027" customHeight="1" s="160">
      <c r="A114" s="153" t="inlineStr">
        <is>
          <t>PRIOR_SALE_DATE</t>
        </is>
      </c>
      <c r="B114" s="151" t="n"/>
      <c r="C114" s="183" t="inlineStr">
        <is>
          <t>Most recent prior sale date</t>
        </is>
      </c>
      <c r="D114" s="154">
        <f>IF(B114&lt;&gt;"","✓","—")</f>
        <v/>
      </c>
    </row>
    <row r="115" ht="17.39999961853027" customHeight="1" s="160">
      <c r="A115" s="150" t="inlineStr">
        <is>
          <t>PRIOR_SALE_PRICE</t>
        </is>
      </c>
      <c r="B115" s="151" t="n"/>
      <c r="C115" s="183" t="inlineStr">
        <is>
          <t>Most recent prior sale price</t>
        </is>
      </c>
      <c r="D115" s="152">
        <f>IF(B115&lt;&gt;"","✓","—")</f>
        <v/>
      </c>
    </row>
    <row r="116" ht="17.39999961853027" customHeight="1" s="160">
      <c r="A116" s="153" t="inlineStr">
        <is>
          <t>CURRENT_CONTRACT_PRICE</t>
        </is>
      </c>
      <c r="B116" s="151" t="n"/>
      <c r="C116" s="183" t="inlineStr">
        <is>
          <t>Leave blank if not under contract</t>
        </is>
      </c>
      <c r="D116" s="154">
        <f>IF(B116&lt;&gt;"","✓","—")</f>
        <v/>
      </c>
    </row>
    <row r="117" ht="17.39999961853027" customHeight="1" s="160">
      <c r="A117" s="150" t="inlineStr">
        <is>
          <t>INSPECTION_DATE</t>
        </is>
      </c>
      <c r="B117" s="151" t="n"/>
      <c r="C117" s="183" t="inlineStr">
        <is>
          <t>Date of physical inspection</t>
        </is>
      </c>
      <c r="D117" s="152">
        <f>IF(B117&lt;&gt;"","✓","—")</f>
        <v/>
      </c>
    </row>
    <row r="118" ht="17.39999961853027" customHeight="1" s="160">
      <c r="A118" s="153" t="inlineStr">
        <is>
          <t>UNIT_OF_COMPARISON</t>
        </is>
      </c>
      <c r="B118" s="151" t="n"/>
      <c r="C118" s="183" t="inlineStr">
        <is>
          <t>e.g. Price per SF / Price per Unit</t>
        </is>
      </c>
      <c r="D118" s="154">
        <f>IF(B118&lt;&gt;"","✓","—")</f>
        <v/>
      </c>
    </row>
    <row r="119" ht="17.39999961853027" customHeight="1" s="160">
      <c r="A119" s="150" t="inlineStr">
        <is>
          <t>EXTRAORDINARY_ASSUMPTION</t>
        </is>
      </c>
      <c r="B119" s="151" t="n"/>
      <c r="C119" s="183" t="inlineStr">
        <is>
          <t>Leave blank if none</t>
        </is>
      </c>
      <c r="D119" s="152">
        <f>IF(B119&lt;&gt;"","✓","—")</f>
        <v/>
      </c>
    </row>
    <row r="120" ht="17.39999961853027" customHeight="1" s="160">
      <c r="A120" s="153" t="inlineStr">
        <is>
          <t>HYPOTHETICAL_CONDITION</t>
        </is>
      </c>
      <c r="B120" s="151" t="n"/>
      <c r="C120" s="183" t="inlineStr">
        <is>
          <t>Leave blank if none</t>
        </is>
      </c>
      <c r="D120" s="154">
        <f>IF(B120&lt;&gt;"","✓","—")</f>
        <v/>
      </c>
    </row>
    <row r="121" ht="18" customHeight="1" s="160">
      <c r="A121" s="235" t="inlineStr">
        <is>
          <t>BUILDING DESCRIPTION</t>
        </is>
      </c>
      <c r="B121" s="162" t="n"/>
      <c r="C121" s="162" t="n"/>
      <c r="D121" s="163" t="n"/>
    </row>
    <row r="122" ht="17.39999961853027" customHeight="1" s="160">
      <c r="A122" s="150" t="inlineStr">
        <is>
          <t>NLA</t>
        </is>
      </c>
      <c r="B122" s="151" t="n"/>
      <c r="C122" s="183" t="inlineStr">
        <is>
          <t>Net Leasable Area (SF)</t>
        </is>
      </c>
      <c r="D122" s="152">
        <f>IF(B122&lt;&gt;"","✓","—")</f>
        <v/>
      </c>
    </row>
    <row r="123" ht="17.39999961853027" customHeight="1" s="160">
      <c r="A123" s="153" t="inlineStr">
        <is>
          <t>FOUNDATION</t>
        </is>
      </c>
      <c r="B123" s="151" t="n"/>
      <c r="C123" s="183" t="inlineStr">
        <is>
          <t>e.g. Slab / Crawl Space / Basement</t>
        </is>
      </c>
      <c r="D123" s="154">
        <f>IF(B123&lt;&gt;"","✓","—")</f>
        <v/>
      </c>
    </row>
    <row r="124" ht="17.39999961853027" customHeight="1" s="160">
      <c r="A124" s="150" t="inlineStr">
        <is>
          <t>FRAME</t>
        </is>
      </c>
      <c r="B124" s="151" t="n"/>
      <c r="C124" s="183" t="inlineStr">
        <is>
          <t>e.g. Steel / Wood Frame / Masonry</t>
        </is>
      </c>
      <c r="D124" s="152">
        <f>IF(B124&lt;&gt;"","✓","—")</f>
        <v/>
      </c>
    </row>
    <row r="125" ht="17.39999961853027" customHeight="1" s="160">
      <c r="A125" s="153" t="inlineStr">
        <is>
          <t>EXTERIOR_WALLS</t>
        </is>
      </c>
      <c r="B125" s="151" t="n"/>
      <c r="C125" s="183" t="inlineStr">
        <is>
          <t>e.g. Brick / EIFS / Metal Panel</t>
        </is>
      </c>
      <c r="D125" s="154">
        <f>IF(B125&lt;&gt;"","✓","—")</f>
        <v/>
      </c>
    </row>
    <row r="126" ht="17.39999961853027" customHeight="1" s="160">
      <c r="A126" s="150" t="inlineStr">
        <is>
          <t>ROOF</t>
        </is>
      </c>
      <c r="B126" s="151" t="n"/>
      <c r="C126" s="183" t="inlineStr">
        <is>
          <t>e.g. Built-Up / TPO / Metal</t>
        </is>
      </c>
      <c r="D126" s="152">
        <f>IF(B126&lt;&gt;"","✓","—")</f>
        <v/>
      </c>
    </row>
    <row r="127" ht="17.39999961853027" customHeight="1" s="160">
      <c r="A127" s="153" t="inlineStr">
        <is>
          <t>HVAC</t>
        </is>
      </c>
      <c r="B127" s="151" t="n"/>
      <c r="C127" s="183" t="inlineStr">
        <is>
          <t>e.g. Central / Package Units / Split</t>
        </is>
      </c>
      <c r="D127" s="154">
        <f>IF(B127&lt;&gt;"","✓","—")</f>
        <v/>
      </c>
    </row>
    <row r="128" ht="17.39999961853027" customHeight="1" s="160">
      <c r="A128" s="150" t="inlineStr">
        <is>
          <t>INTERIOR_WALLS</t>
        </is>
      </c>
      <c r="B128" s="151" t="n"/>
      <c r="C128" s="183" t="inlineStr">
        <is>
          <t>e.g. Drywall / Painted CMU</t>
        </is>
      </c>
      <c r="D128" s="152">
        <f>IF(B128&lt;&gt;"","✓","—")</f>
        <v/>
      </c>
    </row>
    <row r="129" ht="17.39999961853027" customHeight="1" s="160">
      <c r="A129" s="153" t="inlineStr">
        <is>
          <t>CEILING</t>
        </is>
      </c>
      <c r="B129" s="151" t="n"/>
      <c r="C129" s="183" t="inlineStr">
        <is>
          <t>e.g. Drop Tile / Exposed / Drywall</t>
        </is>
      </c>
      <c r="D129" s="154">
        <f>IF(B129&lt;&gt;"","✓","—")</f>
        <v/>
      </c>
    </row>
    <row r="130" ht="17.39999961853027" customHeight="1" s="160">
      <c r="A130" s="150" t="inlineStr">
        <is>
          <t>FLOORS</t>
        </is>
      </c>
      <c r="B130" s="151" t="n"/>
      <c r="C130" s="183" t="inlineStr">
        <is>
          <t>e.g. Carpet / VCT / Hardwood</t>
        </is>
      </c>
      <c r="D130" s="152">
        <f>IF(B130&lt;&gt;"","✓","—")</f>
        <v/>
      </c>
    </row>
    <row r="131" ht="17.39999961853027" customHeight="1" s="160">
      <c r="A131" s="153" t="inlineStr">
        <is>
          <t>LIGHTING</t>
        </is>
      </c>
      <c r="B131" s="151" t="n"/>
      <c r="C131" s="183" t="inlineStr">
        <is>
          <t>e.g. Fluorescent / LED</t>
        </is>
      </c>
      <c r="D131" s="154">
        <f>IF(B131&lt;&gt;"","✓","—")</f>
        <v/>
      </c>
    </row>
    <row r="132" ht="17.39999961853027" customHeight="1" s="160">
      <c r="A132" s="150" t="inlineStr">
        <is>
          <t>WINDOWS</t>
        </is>
      </c>
      <c r="B132" s="151" t="n"/>
      <c r="C132" s="183" t="inlineStr">
        <is>
          <t>e.g. Single-pane / Double-pane / Tinted</t>
        </is>
      </c>
      <c r="D132" s="152">
        <f>IF(B132&lt;&gt;"","✓","—")</f>
        <v/>
      </c>
    </row>
    <row r="133" ht="17.39999961853027" customHeight="1" s="160">
      <c r="A133" s="153" t="inlineStr">
        <is>
          <t>DOORS</t>
        </is>
      </c>
      <c r="B133" s="151" t="n"/>
      <c r="C133" s="183" t="inlineStr">
        <is>
          <t>e.g. Hollow Core / Solid Core / Glass</t>
        </is>
      </c>
      <c r="D133" s="154">
        <f>IF(B133&lt;&gt;"","✓","—")</f>
        <v/>
      </c>
    </row>
    <row r="134" ht="17.39999961853027" customHeight="1" s="160">
      <c r="A134" s="150" t="inlineStr">
        <is>
          <t>ELEVATOR</t>
        </is>
      </c>
      <c r="B134" s="151" t="n"/>
      <c r="C134" s="183" t="inlineStr">
        <is>
          <t>e.g. Present / None</t>
        </is>
      </c>
      <c r="D134" s="152">
        <f>IF(B134&lt;&gt;"","✓","—")</f>
        <v/>
      </c>
    </row>
    <row r="135" ht="17.39999961853027" customHeight="1" s="160">
      <c r="A135" s="153" t="inlineStr">
        <is>
          <t>COMMON_AREA</t>
        </is>
      </c>
      <c r="B135" s="151" t="n"/>
      <c r="C135" s="183" t="inlineStr">
        <is>
          <t>e.g. Lobby, Restrooms, Hallways</t>
        </is>
      </c>
      <c r="D135" s="154">
        <f>IF(B135&lt;&gt;"","✓","—")</f>
        <v/>
      </c>
    </row>
    <row r="136" ht="16.79999923706055" customHeight="1" s="160">
      <c r="A136" s="150" t="inlineStr">
        <is>
          <t>FFE</t>
        </is>
      </c>
      <c r="B136" s="151" t="n"/>
      <c r="C136" s="183" t="inlineStr">
        <is>
          <t>Furniture/Fixtures/Equipment included? Yes/No</t>
        </is>
      </c>
      <c r="D136" s="152">
        <f>IF(B136&lt;&gt;"","✓","—")</f>
        <v/>
      </c>
    </row>
    <row r="137" ht="17.39999961853027" customHeight="1" s="160">
      <c r="A137" s="153" t="inlineStr">
        <is>
          <t>DEFERRED_MAINTENANCE</t>
        </is>
      </c>
      <c r="B137" s="151" t="n"/>
      <c r="C137" s="183" t="inlineStr">
        <is>
          <t>Brief description or None</t>
        </is>
      </c>
      <c r="D137" s="154">
        <f>IF(B137&lt;&gt;"","✓","—")</f>
        <v/>
      </c>
    </row>
    <row r="138" ht="17.39999961853027" customHeight="1" s="160">
      <c r="A138" s="150" t="inlineStr">
        <is>
          <t>SUBJECT_CONDITION</t>
        </is>
      </c>
      <c r="B138" s="151" t="n"/>
      <c r="C138" s="183" t="inlineStr">
        <is>
          <t>e.g. Good / Average / Fair / Poor</t>
        </is>
      </c>
      <c r="D138" s="152">
        <f>IF(B138&lt;&gt;"","✓","—")</f>
        <v/>
      </c>
    </row>
    <row r="139" ht="18" customHeight="1" s="160">
      <c r="A139" s="233" t="inlineStr">
        <is>
          <t>SITE DESCRIPTION</t>
        </is>
      </c>
      <c r="B139" s="162" t="n"/>
      <c r="C139" s="162" t="n"/>
      <c r="D139" s="163" t="n"/>
    </row>
    <row r="140" ht="17.39999961853027" customHeight="1" s="160">
      <c r="A140" s="150" t="inlineStr">
        <is>
          <t>SITE_SHAPE</t>
        </is>
      </c>
      <c r="B140" s="151" t="n"/>
      <c r="C140" s="183" t="inlineStr">
        <is>
          <t>e.g. Rectangular / Irregular</t>
        </is>
      </c>
      <c r="D140" s="152">
        <f>IF(B140&lt;&gt;"","✓","—")</f>
        <v/>
      </c>
    </row>
    <row r="141" ht="17.39999961853027" customHeight="1" s="160">
      <c r="A141" s="153" t="inlineStr">
        <is>
          <t>TOPOGRAPHY</t>
        </is>
      </c>
      <c r="B141" s="151" t="n"/>
      <c r="C141" s="183" t="inlineStr">
        <is>
          <t>e.g. Level / Gently Rolling / Sloping</t>
        </is>
      </c>
      <c r="D141" s="154">
        <f>IF(B141&lt;&gt;"","✓","—")</f>
        <v/>
      </c>
    </row>
    <row r="142" ht="17.39999961853027" customHeight="1" s="160">
      <c r="A142" s="150" t="inlineStr">
        <is>
          <t>FRONTAGE_STREET</t>
        </is>
      </c>
      <c r="B142" s="151" t="n"/>
      <c r="C142" s="183" t="inlineStr">
        <is>
          <t>e.g. Example Commerce Way (100 LF)</t>
        </is>
      </c>
      <c r="D142" s="152">
        <f>IF(B142&lt;&gt;"","✓","—")</f>
        <v/>
      </c>
    </row>
    <row r="143" ht="17.39999961853027" customHeight="1" s="160">
      <c r="A143" s="153" t="inlineStr">
        <is>
          <t>ADJACENT_USES</t>
        </is>
      </c>
      <c r="B143" s="151" t="n"/>
      <c r="C143" s="183" t="inlineStr">
        <is>
          <t>e.g. Office, Retail, Residential</t>
        </is>
      </c>
      <c r="D143" s="154">
        <f>IF(B143&lt;&gt;"","✓","—")</f>
        <v/>
      </c>
    </row>
    <row r="144" ht="17.39999961853027" customHeight="1" s="160">
      <c r="A144" s="150" t="inlineStr">
        <is>
          <t>PERMITTED_USES</t>
        </is>
      </c>
      <c r="B144" s="151" t="n"/>
      <c r="C144" s="183" t="inlineStr">
        <is>
          <t>e.g. Office, Retail, Light Industrial</t>
        </is>
      </c>
      <c r="D144" s="152">
        <f>IF(B144&lt;&gt;"","✓","—")</f>
        <v/>
      </c>
    </row>
    <row r="145" ht="17.39999961853027" customHeight="1" s="160">
      <c r="A145" s="153" t="inlineStr">
        <is>
          <t>ZONING_COMPLIANCE</t>
        </is>
      </c>
      <c r="B145" s="151" t="n"/>
      <c r="C145" s="183" t="inlineStr">
        <is>
          <t>e.g. Legal Conforming / Legal Non-Conforming</t>
        </is>
      </c>
      <c r="D145" s="154">
        <f>IF(B145&lt;&gt;"","✓","—")</f>
        <v/>
      </c>
    </row>
    <row r="146" ht="17.39999961853027" customHeight="1" s="160">
      <c r="A146" s="150" t="inlineStr">
        <is>
          <t>PARKING_TYPE</t>
        </is>
      </c>
      <c r="B146" s="151" t="n"/>
      <c r="C146" s="183" t="inlineStr">
        <is>
          <t>e.g. Surface Lot / Structured / Street</t>
        </is>
      </c>
      <c r="D146" s="152">
        <f>IF(B146&lt;&gt;"","✓","—")</f>
        <v/>
      </c>
    </row>
    <row r="147" ht="17.39999961853027" customHeight="1" s="160">
      <c r="A147" s="153" t="inlineStr">
        <is>
          <t>FLOOD_ZONE</t>
        </is>
      </c>
      <c r="B147" s="151" t="n"/>
      <c r="C147" s="183" t="inlineStr">
        <is>
          <t>e.g. Zone X (No) / Zone AE (Yes)</t>
        </is>
      </c>
      <c r="D147" s="154">
        <f>IF(B147&lt;&gt;"","✓","—")</f>
        <v/>
      </c>
    </row>
    <row r="148" ht="17.39999961853027" customHeight="1" s="160">
      <c r="A148" s="150" t="inlineStr">
        <is>
          <t>FEMA_PANEL</t>
        </is>
      </c>
      <c r="B148" s="151" t="n"/>
      <c r="C148" s="183" t="inlineStr">
        <is>
          <t>e.g. 01073C0159E</t>
        </is>
      </c>
      <c r="D148" s="152">
        <f>IF(B148&lt;&gt;"","✓","—")</f>
        <v/>
      </c>
    </row>
    <row r="149" ht="17.39999961853027" customHeight="1" s="160">
      <c r="A149" s="153" t="inlineStr">
        <is>
          <t>SUBJECT_ACCESS</t>
        </is>
      </c>
      <c r="B149" s="151" t="n"/>
      <c r="C149" s="183" t="inlineStr">
        <is>
          <t>e.g. Good / Average / Inferior</t>
        </is>
      </c>
      <c r="D149" s="154">
        <f>IF(B149&lt;&gt;"","✓","—")</f>
        <v/>
      </c>
    </row>
    <row r="150" ht="17.39999961853027" customHeight="1" s="160">
      <c r="A150" s="150" t="inlineStr">
        <is>
          <t>SUBJECT_VISIBILITY</t>
        </is>
      </c>
      <c r="B150" s="151" t="n"/>
      <c r="C150" s="183" t="inlineStr">
        <is>
          <t>e.g. Good / Average / Inferior</t>
        </is>
      </c>
      <c r="D150" s="152">
        <f>IF(B150&lt;&gt;"","✓","—")</f>
        <v/>
      </c>
    </row>
    <row r="151" ht="17.39999961853027" customHeight="1" s="160">
      <c r="A151" s="153" t="inlineStr">
        <is>
          <t>SUBJECT_INGRESS_EGRESS</t>
        </is>
      </c>
      <c r="B151" s="151" t="n"/>
      <c r="C151" s="183" t="inlineStr">
        <is>
          <t>e.g. Two-way access off Example Commerce Way</t>
        </is>
      </c>
      <c r="D151" s="154">
        <f>IF(B151&lt;&gt;"","✓","—")</f>
        <v/>
      </c>
    </row>
    <row r="152" ht="17.39999961853027" customHeight="1" s="160">
      <c r="A152" s="150" t="inlineStr">
        <is>
          <t>SUBJECT_CURB</t>
        </is>
      </c>
      <c r="B152" s="151" t="n"/>
      <c r="C152" s="183" t="inlineStr">
        <is>
          <t>e.g. Present / None</t>
        </is>
      </c>
      <c r="D152" s="152">
        <f>IF(B152&lt;&gt;"","✓","—")</f>
        <v/>
      </c>
    </row>
    <row r="153" ht="17.39999961853027" customHeight="1" s="160">
      <c r="A153" s="153" t="inlineStr">
        <is>
          <t>SUBJECT_SIDEWALK</t>
        </is>
      </c>
      <c r="B153" s="151" t="n"/>
      <c r="C153" s="183" t="inlineStr">
        <is>
          <t>e.g. Present / None</t>
        </is>
      </c>
      <c r="D153" s="154">
        <f>IF(B153&lt;&gt;"","✓","—")</f>
        <v/>
      </c>
    </row>
    <row r="154" ht="17.39999961853027" customHeight="1" s="160">
      <c r="A154" s="150" t="inlineStr">
        <is>
          <t>SUBJECT_STREETLIGHT</t>
        </is>
      </c>
      <c r="B154" s="151" t="n"/>
      <c r="C154" s="183" t="inlineStr">
        <is>
          <t>e.g. Present / None</t>
        </is>
      </c>
      <c r="D154" s="152">
        <f>IF(B154&lt;&gt;"","✓","—")</f>
        <v/>
      </c>
    </row>
    <row r="155" ht="6" customHeight="1" s="160"/>
  </sheetData>
  <mergeCells count="18">
    <mergeCell ref="A94:D94"/>
    <mergeCell ref="A1:D1"/>
    <mergeCell ref="A110:D110"/>
    <mergeCell ref="A79:D79"/>
    <mergeCell ref="A5:D5"/>
    <mergeCell ref="A61:D61"/>
    <mergeCell ref="A42:D42"/>
    <mergeCell ref="A53:D53"/>
    <mergeCell ref="A12:D12"/>
    <mergeCell ref="A4:D4"/>
    <mergeCell ref="A139:D139"/>
    <mergeCell ref="A3:D3"/>
    <mergeCell ref="A86:D86"/>
    <mergeCell ref="A29:D29"/>
    <mergeCell ref="A19:D19"/>
    <mergeCell ref="A121:D121"/>
    <mergeCell ref="A99:D99"/>
    <mergeCell ref="A28:D28"/>
  </mergeCells>
  <dataValidations count="1">
    <dataValidation sqref="B42:B44" showDropDown="0" showInputMessage="0" showErrorMessage="0" allowBlank="1" type="list">
      <formula1>"Yes,No"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Q56"/>
  <sheetViews>
    <sheetView workbookViewId="0">
      <selection activeCell="A1" sqref="A1"/>
    </sheetView>
  </sheetViews>
  <sheetFormatPr baseColWidth="8" defaultColWidth="8.6640625" defaultRowHeight="13.19999980926514"/>
  <cols>
    <col width="2" customWidth="1" style="160" min="1" max="1"/>
    <col width="9" customWidth="1" style="160" min="2" max="2"/>
    <col width="12.5546875" customWidth="1" style="160" min="3" max="3"/>
    <col width="16" customWidth="1" style="160" min="4" max="4"/>
    <col width="13" customWidth="1" style="160" min="5" max="5"/>
    <col width="12" customWidth="1" style="160" min="6" max="6"/>
    <col width="10" customWidth="1" style="160" min="7" max="9"/>
    <col width="11" customWidth="1" style="160" min="10" max="10"/>
    <col width="10" customWidth="1" style="160" min="11" max="11"/>
    <col width="13" customWidth="1" style="160" min="12" max="12"/>
  </cols>
  <sheetData>
    <row r="2" ht="19.5" customHeight="1" s="160">
      <c r="B2" s="202" t="inlineStr">
        <is>
          <t>SUBJECT PROPERTY REFERENCE</t>
        </is>
      </c>
      <c r="C2" s="190" t="n"/>
      <c r="D2" s="190" t="n"/>
      <c r="E2" s="190" t="n"/>
      <c r="F2" s="190" t="n"/>
      <c r="G2" s="190" t="n"/>
      <c r="H2" s="190" t="n"/>
    </row>
    <row r="3" ht="28.04999923706055" customHeight="1" s="160">
      <c r="B3" s="193" t="inlineStr">
        <is>
          <t>Address</t>
        </is>
      </c>
      <c r="C3" s="193" t="inlineStr">
        <is>
          <t>City</t>
        </is>
      </c>
      <c r="D3" s="193" t="inlineStr">
        <is>
          <t>GBA (SF)</t>
        </is>
      </c>
      <c r="E3" s="193" t="inlineStr">
        <is>
          <t>Year Built</t>
        </is>
      </c>
      <c r="F3" s="193" t="inlineStr">
        <is>
          <t>Property Type</t>
        </is>
      </c>
      <c r="G3" s="193" t="inlineStr">
        <is>
          <t>Zoning</t>
        </is>
      </c>
      <c r="H3" s="193" t="inlineStr">
        <is>
          <t>Class</t>
        </is>
      </c>
      <c r="I3" s="194" t="inlineStr">
        <is>
          <t>Median HH Income</t>
        </is>
      </c>
      <c r="J3" s="194" t="inlineStr">
        <is>
          <t>Population</t>
        </is>
      </c>
      <c r="K3" s="194" t="inlineStr">
        <is>
          <t>Flood Zone</t>
        </is>
      </c>
      <c r="L3" s="194" t="inlineStr">
        <is>
          <t>LTB Ratio</t>
        </is>
      </c>
    </row>
    <row r="4" ht="15" customHeight="1" s="160">
      <c r="B4" s="155">
        <f>Intake!B20</f>
        <v/>
      </c>
      <c r="C4" s="155">
        <f>Intake!B21</f>
        <v/>
      </c>
      <c r="D4" s="156">
        <f>Intake!B32</f>
        <v/>
      </c>
      <c r="E4" s="157">
        <f>Intake!B30</f>
        <v/>
      </c>
      <c r="F4" s="155">
        <f>Intake!B26</f>
        <v/>
      </c>
      <c r="G4" s="155">
        <f>Intake!B40</f>
        <v/>
      </c>
      <c r="H4" s="155">
        <f>Intake!B112</f>
        <v/>
      </c>
      <c r="I4" s="138" t="n"/>
      <c r="J4" s="138" t="n"/>
      <c r="K4" s="158">
        <f>Intake!B147</f>
        <v/>
      </c>
      <c r="L4" s="138" t="n"/>
      <c r="M4" s="38" t="n"/>
      <c r="N4" s="38" t="n"/>
      <c r="O4" s="38" t="n"/>
      <c r="P4" s="38" t="n"/>
      <c r="Q4" s="38" t="n"/>
    </row>
    <row r="5" ht="6" customHeight="1" s="160"/>
    <row r="6" ht="6" customHeight="1" s="160"/>
    <row r="7" ht="19.5" customHeight="1" s="160">
      <c r="B7" s="203" t="inlineStr">
        <is>
          <t>COMPARABLE SALES DATA</t>
        </is>
      </c>
      <c r="C7" s="190" t="n"/>
      <c r="D7" s="190" t="n"/>
      <c r="E7" s="190" t="n"/>
      <c r="F7" s="190" t="n"/>
      <c r="G7" s="190" t="n"/>
      <c r="H7" s="190" t="n"/>
      <c r="I7" s="190" t="n"/>
      <c r="J7" s="190" t="n"/>
      <c r="K7" s="190" t="n"/>
      <c r="L7" s="190" t="n"/>
    </row>
    <row r="8" ht="30" customHeight="1" s="160">
      <c r="B8" s="3" t="inlineStr">
        <is>
          <t>Sale No.</t>
        </is>
      </c>
      <c r="C8" s="3" t="inlineStr">
        <is>
          <t>Sale Date</t>
        </is>
      </c>
      <c r="D8" s="3" t="inlineStr">
        <is>
          <t>Location</t>
        </is>
      </c>
      <c r="E8" s="3" t="inlineStr">
        <is>
          <t>Sale Price</t>
        </is>
      </c>
      <c r="F8" s="3" t="inlineStr">
        <is>
          <t>GBA (SF)</t>
        </is>
      </c>
      <c r="G8" s="3" t="inlineStr">
        <is>
          <t>$/SF</t>
        </is>
      </c>
      <c r="H8" s="3" t="inlineStr">
        <is>
          <t>Overall Rate</t>
        </is>
      </c>
      <c r="I8" s="3" t="inlineStr">
        <is>
          <t>NOI $/SF</t>
        </is>
      </c>
      <c r="J8" s="3" t="inlineStr">
        <is>
          <t>Flood Zone</t>
        </is>
      </c>
      <c r="K8" s="3" t="inlineStr">
        <is>
          <t>LTB Ratio</t>
        </is>
      </c>
      <c r="L8" s="3" t="inlineStr">
        <is>
          <t>Year Built</t>
        </is>
      </c>
    </row>
    <row r="9" ht="15" customHeight="1" s="160">
      <c r="B9" s="38" t="n">
        <v>1</v>
      </c>
      <c r="C9" s="123" t="n"/>
      <c r="D9" s="38" t="n"/>
      <c r="E9" s="124" t="n"/>
      <c r="F9" s="121" t="n"/>
      <c r="G9" s="125">
        <f>E9/F9</f>
        <v/>
      </c>
      <c r="H9" s="126" t="n"/>
      <c r="I9" s="125" t="n"/>
      <c r="J9" s="122" t="n"/>
      <c r="K9" s="127" t="n"/>
      <c r="L9" s="122" t="n"/>
      <c r="M9" s="139" t="n"/>
      <c r="N9" s="139" t="n"/>
      <c r="O9" s="139" t="n"/>
      <c r="P9" s="139" t="n"/>
      <c r="Q9" s="139" t="n"/>
    </row>
    <row r="10" ht="15" customHeight="1" s="160">
      <c r="B10" s="42" t="n">
        <v>2</v>
      </c>
      <c r="C10" s="128" t="n"/>
      <c r="D10" s="42" t="n"/>
      <c r="E10" s="129" t="n"/>
      <c r="F10" s="130" t="n"/>
      <c r="G10" s="131">
        <f>E10/F10</f>
        <v/>
      </c>
      <c r="H10" s="132" t="n"/>
      <c r="I10" s="131" t="n"/>
      <c r="J10" s="133" t="n"/>
      <c r="K10" s="134" t="n"/>
      <c r="L10" s="133" t="n"/>
      <c r="M10" s="139" t="n"/>
      <c r="N10" s="139" t="n"/>
      <c r="O10" s="139" t="n"/>
      <c r="P10" s="139" t="n"/>
      <c r="Q10" s="139" t="n"/>
    </row>
    <row r="11" ht="15" customHeight="1" s="160">
      <c r="B11" s="38" t="n">
        <v>3</v>
      </c>
      <c r="C11" s="123" t="n"/>
      <c r="D11" s="38" t="n"/>
      <c r="E11" s="124" t="n"/>
      <c r="F11" s="121" t="n"/>
      <c r="G11" s="125">
        <f>E11/F11</f>
        <v/>
      </c>
      <c r="H11" s="135" t="n"/>
      <c r="I11" s="135" t="n"/>
      <c r="J11" s="122" t="n"/>
      <c r="K11" s="127" t="n"/>
      <c r="L11" s="122" t="n"/>
      <c r="M11" s="139" t="n"/>
      <c r="N11" s="139" t="n"/>
      <c r="O11" s="139" t="n"/>
      <c r="P11" s="139" t="n"/>
      <c r="Q11" s="139" t="n"/>
    </row>
    <row r="12" ht="15" customHeight="1" s="160">
      <c r="B12" s="42" t="n">
        <v>4</v>
      </c>
      <c r="C12" s="128" t="n"/>
      <c r="D12" s="42" t="n"/>
      <c r="E12" s="129" t="n"/>
      <c r="F12" s="130" t="n"/>
      <c r="G12" s="131">
        <f>E12/F12</f>
        <v/>
      </c>
      <c r="H12" s="132" t="n"/>
      <c r="I12" s="131" t="n"/>
      <c r="J12" s="133" t="n"/>
      <c r="K12" s="134" t="n"/>
      <c r="L12" s="133" t="n"/>
      <c r="M12" s="139" t="n"/>
      <c r="N12" s="139" t="n"/>
      <c r="O12" s="139" t="n"/>
      <c r="P12" s="139" t="n"/>
      <c r="Q12" s="139" t="n"/>
    </row>
    <row r="13" ht="15" customHeight="1" s="160">
      <c r="B13" s="38" t="n">
        <v>5</v>
      </c>
      <c r="C13" s="123" t="n"/>
      <c r="D13" s="38" t="n"/>
      <c r="E13" s="124" t="n"/>
      <c r="F13" s="121" t="n"/>
      <c r="G13" s="125">
        <f>E13/F13</f>
        <v/>
      </c>
      <c r="H13" s="126" t="n"/>
      <c r="I13" s="125" t="n"/>
      <c r="J13" s="122" t="n"/>
      <c r="K13" s="127" t="n"/>
      <c r="L13" s="122" t="n"/>
      <c r="M13" s="139" t="n"/>
      <c r="N13" s="139" t="n"/>
      <c r="O13" s="139" t="n"/>
      <c r="P13" s="139" t="n"/>
      <c r="Q13" s="139" t="n"/>
    </row>
    <row r="14" ht="15" customHeight="1" s="160">
      <c r="B14" s="42" t="n">
        <v>6</v>
      </c>
      <c r="C14" s="128" t="n"/>
      <c r="D14" s="42" t="n"/>
      <c r="E14" s="129" t="n"/>
      <c r="F14" s="130" t="n"/>
      <c r="G14" s="131">
        <f>E14/F14</f>
        <v/>
      </c>
      <c r="H14" s="136" t="n"/>
      <c r="I14" s="136" t="n"/>
      <c r="J14" s="133" t="n"/>
      <c r="K14" s="134" t="n"/>
      <c r="L14" s="133" t="n"/>
      <c r="M14" s="139" t="n"/>
      <c r="N14" s="139" t="n"/>
      <c r="O14" s="139" t="n"/>
      <c r="P14" s="139" t="n"/>
      <c r="Q14" s="139" t="n"/>
    </row>
    <row r="15" ht="15" customHeight="1" s="160">
      <c r="B15" s="38" t="n">
        <v>7</v>
      </c>
      <c r="C15" s="123" t="n"/>
      <c r="D15" s="38" t="n"/>
      <c r="E15" s="124" t="n"/>
      <c r="F15" s="121" t="n"/>
      <c r="G15" s="125">
        <f>E15/F15</f>
        <v/>
      </c>
      <c r="H15" s="135" t="n"/>
      <c r="I15" s="135" t="n"/>
      <c r="J15" s="122" t="n"/>
      <c r="K15" s="127" t="n"/>
      <c r="L15" s="122" t="n"/>
      <c r="M15" s="139" t="n"/>
      <c r="N15" s="139" t="n"/>
      <c r="O15" s="139" t="n"/>
      <c r="P15" s="139" t="n"/>
      <c r="Q15" s="139" t="n"/>
    </row>
    <row r="16" ht="6" customHeight="1" s="160"/>
    <row r="17" ht="6" customHeight="1" s="160"/>
    <row r="18" ht="19.5" customHeight="1" s="160">
      <c r="B18" s="203" t="inlineStr">
        <is>
          <t>ADJUSTMENT GRID</t>
        </is>
      </c>
      <c r="C18" s="190" t="n"/>
      <c r="D18" s="190" t="n"/>
      <c r="E18" s="190" t="n"/>
      <c r="F18" s="190" t="n"/>
      <c r="G18" s="190" t="n"/>
      <c r="H18" s="190" t="n"/>
      <c r="I18" s="190" t="n"/>
      <c r="J18" s="190" t="n"/>
    </row>
    <row r="19" ht="30" customHeight="1" s="160">
      <c r="B19" s="3" t="inlineStr">
        <is>
          <t>Sale No.</t>
        </is>
      </c>
      <c r="C19" s="3" t="inlineStr">
        <is>
          <t>Unadj. $/SF</t>
        </is>
      </c>
      <c r="D19" s="3" t="inlineStr">
        <is>
          <t>Market Adj.</t>
        </is>
      </c>
      <c r="E19" s="3" t="inlineStr">
        <is>
          <t>Adj. $/SF</t>
        </is>
      </c>
      <c r="F19" s="3" t="inlineStr">
        <is>
          <t>Comp GBA (SF)</t>
        </is>
      </c>
      <c r="G19" s="3" t="inlineStr">
        <is>
          <t>Size Adj.</t>
        </is>
      </c>
      <c r="H19" s="3" t="inlineStr">
        <is>
          <t>Location Adj.</t>
        </is>
      </c>
      <c r="I19" s="3" t="inlineStr">
        <is>
          <t>Net Adj.</t>
        </is>
      </c>
      <c r="J19" s="3" t="inlineStr">
        <is>
          <t>Indicated $/SF</t>
        </is>
      </c>
    </row>
    <row r="20" ht="15" customHeight="1" s="160">
      <c r="B20" s="38">
        <f>B9</f>
        <v/>
      </c>
      <c r="C20" s="125">
        <f>G9</f>
        <v/>
      </c>
      <c r="D20" s="126" t="n">
        <v>0</v>
      </c>
      <c r="E20" s="125">
        <f>C20*(1+D20)</f>
        <v/>
      </c>
      <c r="F20" s="121">
        <f>F9</f>
        <v/>
      </c>
      <c r="G20" s="126" t="n">
        <v>0</v>
      </c>
      <c r="H20" s="126" t="n">
        <v>0</v>
      </c>
      <c r="I20" s="126">
        <f>G20+H20</f>
        <v/>
      </c>
      <c r="J20" s="125">
        <f>ROUND(E20*(1+I20),2)</f>
        <v/>
      </c>
      <c r="K20" s="38" t="n"/>
      <c r="L20" s="38" t="n"/>
      <c r="M20" s="139" t="n"/>
      <c r="N20" s="139" t="n"/>
      <c r="O20" s="139" t="n"/>
      <c r="P20" s="139" t="n"/>
      <c r="Q20" s="139" t="n"/>
    </row>
    <row r="21" ht="15" customHeight="1" s="160">
      <c r="B21" s="42">
        <f>B10</f>
        <v/>
      </c>
      <c r="C21" s="131">
        <f>G10</f>
        <v/>
      </c>
      <c r="D21" s="132" t="n">
        <v>0</v>
      </c>
      <c r="E21" s="131">
        <f>C21*(1+D21)</f>
        <v/>
      </c>
      <c r="F21" s="130">
        <f>F10</f>
        <v/>
      </c>
      <c r="G21" s="132" t="n">
        <v>0</v>
      </c>
      <c r="H21" s="132" t="n">
        <v>0</v>
      </c>
      <c r="I21" s="132">
        <f>G21+H21</f>
        <v/>
      </c>
      <c r="J21" s="131">
        <f>ROUND(E21*(1+I21),2)</f>
        <v/>
      </c>
      <c r="K21" s="139" t="n"/>
      <c r="L21" s="139" t="n"/>
      <c r="M21" s="139" t="n"/>
      <c r="N21" s="139" t="n"/>
      <c r="O21" s="139" t="n"/>
      <c r="P21" s="139" t="n"/>
      <c r="Q21" s="139" t="n"/>
    </row>
    <row r="22" ht="15" customHeight="1" s="160">
      <c r="B22" s="38">
        <f>B11</f>
        <v/>
      </c>
      <c r="C22" s="125">
        <f>G11</f>
        <v/>
      </c>
      <c r="D22" s="126" t="n">
        <v>0</v>
      </c>
      <c r="E22" s="125">
        <f>C22*(1+D22)</f>
        <v/>
      </c>
      <c r="F22" s="121">
        <f>F11</f>
        <v/>
      </c>
      <c r="G22" s="126" t="n">
        <v>0</v>
      </c>
      <c r="H22" s="126" t="n">
        <v>0</v>
      </c>
      <c r="I22" s="126">
        <f>G22+H22</f>
        <v/>
      </c>
      <c r="J22" s="125">
        <f>ROUND(E22*(1+I22),2)</f>
        <v/>
      </c>
      <c r="K22" s="139" t="n"/>
      <c r="L22" s="139" t="n"/>
      <c r="M22" s="139" t="n"/>
      <c r="N22" s="139" t="n"/>
      <c r="O22" s="139" t="n"/>
      <c r="P22" s="139" t="n"/>
      <c r="Q22" s="139" t="n"/>
    </row>
    <row r="23" ht="15" customHeight="1" s="160">
      <c r="B23" s="42">
        <f>B12</f>
        <v/>
      </c>
      <c r="C23" s="131">
        <f>G12</f>
        <v/>
      </c>
      <c r="D23" s="132" t="n">
        <v>0</v>
      </c>
      <c r="E23" s="131">
        <f>C23*(1+D23)</f>
        <v/>
      </c>
      <c r="F23" s="130">
        <f>F12</f>
        <v/>
      </c>
      <c r="G23" s="132" t="n">
        <v>0</v>
      </c>
      <c r="H23" s="132" t="n">
        <v>0</v>
      </c>
      <c r="I23" s="132">
        <f>G23+H23</f>
        <v/>
      </c>
      <c r="J23" s="131">
        <f>ROUND(E23*(1+I23),2)</f>
        <v/>
      </c>
      <c r="K23" s="139" t="n"/>
      <c r="L23" s="139" t="n"/>
      <c r="M23" s="139" t="n"/>
      <c r="N23" s="139" t="n"/>
      <c r="O23" s="139" t="n"/>
      <c r="P23" s="139" t="n"/>
      <c r="Q23" s="139" t="n"/>
    </row>
    <row r="24" ht="15" customHeight="1" s="160">
      <c r="B24" s="38">
        <f>B13</f>
        <v/>
      </c>
      <c r="C24" s="125">
        <f>G13</f>
        <v/>
      </c>
      <c r="D24" s="126" t="n">
        <v>0</v>
      </c>
      <c r="E24" s="125">
        <f>C24*(1+D24)</f>
        <v/>
      </c>
      <c r="F24" s="121">
        <f>F13</f>
        <v/>
      </c>
      <c r="G24" s="126" t="n">
        <v>0</v>
      </c>
      <c r="H24" s="126" t="n">
        <v>0</v>
      </c>
      <c r="I24" s="126">
        <f>G24+H24</f>
        <v/>
      </c>
      <c r="J24" s="125">
        <f>ROUND(E24*(1+I24),2)</f>
        <v/>
      </c>
      <c r="K24" s="139" t="n"/>
      <c r="L24" s="139" t="n"/>
      <c r="M24" s="139" t="n"/>
      <c r="N24" s="139" t="n"/>
      <c r="O24" s="139" t="n"/>
      <c r="P24" s="139" t="n"/>
      <c r="Q24" s="139" t="n"/>
    </row>
    <row r="25" ht="15" customHeight="1" s="160">
      <c r="B25" s="42">
        <f>B14</f>
        <v/>
      </c>
      <c r="C25" s="131">
        <f>G14</f>
        <v/>
      </c>
      <c r="D25" s="132" t="n">
        <v>0</v>
      </c>
      <c r="E25" s="131">
        <f>C25*(1+D25)</f>
        <v/>
      </c>
      <c r="F25" s="130">
        <f>F14</f>
        <v/>
      </c>
      <c r="G25" s="132" t="n">
        <v>0</v>
      </c>
      <c r="H25" s="132" t="n">
        <v>0</v>
      </c>
      <c r="I25" s="132">
        <f>G25+H25</f>
        <v/>
      </c>
      <c r="J25" s="131">
        <f>ROUND(E25*(1+I25),2)</f>
        <v/>
      </c>
      <c r="K25" s="139" t="n"/>
      <c r="L25" s="139" t="n"/>
      <c r="M25" s="139" t="n"/>
      <c r="N25" s="139" t="n"/>
      <c r="O25" s="139" t="n"/>
      <c r="P25" s="139" t="n"/>
      <c r="Q25" s="139" t="n"/>
    </row>
    <row r="26" ht="15" customHeight="1" s="160">
      <c r="B26" s="38">
        <f>B15</f>
        <v/>
      </c>
      <c r="C26" s="125">
        <f>G15</f>
        <v/>
      </c>
      <c r="D26" s="126" t="n">
        <v>0</v>
      </c>
      <c r="E26" s="125">
        <f>C26*(1+D26)</f>
        <v/>
      </c>
      <c r="F26" s="121">
        <f>F15</f>
        <v/>
      </c>
      <c r="G26" s="126" t="n">
        <v>0</v>
      </c>
      <c r="H26" s="126" t="n">
        <v>0</v>
      </c>
      <c r="I26" s="126">
        <f>G26+H26</f>
        <v/>
      </c>
      <c r="J26" s="125">
        <f>ROUND(E26*(1+I26),2)</f>
        <v/>
      </c>
      <c r="K26" s="139" t="n"/>
      <c r="L26" s="139" t="n"/>
      <c r="M26" s="139" t="n"/>
      <c r="N26" s="139" t="n"/>
      <c r="O26" s="139" t="n"/>
      <c r="P26" s="139" t="n"/>
      <c r="Q26" s="139" t="n"/>
    </row>
    <row r="27" ht="6" customHeight="1" s="160"/>
    <row r="28" ht="6" customHeight="1" s="160"/>
    <row r="29" ht="19.5" customHeight="1" s="160">
      <c r="B29" s="203" t="inlineStr">
        <is>
          <t>DEMOGRAPHICS (5-Mile Radius)</t>
        </is>
      </c>
      <c r="C29" s="190" t="n"/>
      <c r="D29" s="190" t="n"/>
      <c r="E29" s="190" t="n"/>
    </row>
    <row r="30" ht="15" customHeight="1" s="160">
      <c r="B30" s="2" t="inlineStr">
        <is>
          <t>Sale No.</t>
        </is>
      </c>
      <c r="C30" s="2" t="inlineStr">
        <is>
          <t>Median Income</t>
        </is>
      </c>
      <c r="D30" s="2" t="inlineStr">
        <is>
          <t>Population</t>
        </is>
      </c>
    </row>
    <row r="31" ht="15" customHeight="1" s="160">
      <c r="B31" s="38" t="n">
        <v>1</v>
      </c>
      <c r="C31" s="124" t="n"/>
      <c r="D31" s="121" t="n"/>
      <c r="E31" s="38" t="n"/>
      <c r="F31" s="38" t="n"/>
      <c r="G31" s="38" t="n"/>
      <c r="H31" s="38" t="n"/>
      <c r="I31" s="38" t="n"/>
      <c r="J31" s="139" t="n"/>
      <c r="K31" s="139" t="n"/>
      <c r="L31" s="139" t="n"/>
      <c r="M31" s="139" t="n"/>
      <c r="N31" s="139" t="n"/>
      <c r="O31" s="139" t="n"/>
      <c r="P31" s="139" t="n"/>
    </row>
    <row r="32" ht="15" customHeight="1" s="160">
      <c r="B32" s="42" t="n">
        <v>2</v>
      </c>
      <c r="C32" s="129" t="n"/>
      <c r="D32" s="130" t="n"/>
      <c r="E32" s="139" t="n"/>
      <c r="F32" s="139" t="n"/>
      <c r="G32" s="139" t="n"/>
      <c r="H32" s="139" t="n"/>
      <c r="I32" s="139" t="n"/>
      <c r="J32" s="139" t="n"/>
      <c r="K32" s="139" t="n"/>
      <c r="L32" s="139" t="n"/>
      <c r="M32" s="139" t="n"/>
      <c r="N32" s="139" t="n"/>
      <c r="O32" s="139" t="n"/>
      <c r="P32" s="139" t="n"/>
    </row>
    <row r="33" ht="15" customHeight="1" s="160">
      <c r="B33" s="38" t="n">
        <v>3</v>
      </c>
      <c r="C33" s="124" t="n"/>
      <c r="D33" s="121" t="n"/>
      <c r="E33" s="139" t="n"/>
      <c r="F33" s="139" t="n"/>
      <c r="G33" s="139" t="n"/>
      <c r="H33" s="139" t="n"/>
      <c r="I33" s="139" t="n"/>
      <c r="J33" s="139" t="n"/>
      <c r="K33" s="139" t="n"/>
      <c r="L33" s="139" t="n"/>
      <c r="M33" s="139" t="n"/>
      <c r="N33" s="139" t="n"/>
      <c r="O33" s="139" t="n"/>
      <c r="P33" s="139" t="n"/>
    </row>
    <row r="34" ht="15" customHeight="1" s="160">
      <c r="B34" s="42" t="n">
        <v>4</v>
      </c>
      <c r="C34" s="129" t="n"/>
      <c r="D34" s="130" t="n"/>
      <c r="E34" s="139" t="n"/>
      <c r="F34" s="139" t="n"/>
      <c r="G34" s="139" t="n"/>
      <c r="H34" s="139" t="n"/>
      <c r="I34" s="139" t="n"/>
      <c r="J34" s="139" t="n"/>
      <c r="K34" s="139" t="n"/>
      <c r="L34" s="139" t="n"/>
      <c r="M34" s="139" t="n"/>
      <c r="N34" s="139" t="n"/>
      <c r="O34" s="139" t="n"/>
      <c r="P34" s="139" t="n"/>
    </row>
    <row r="35" ht="15" customHeight="1" s="160">
      <c r="B35" s="38" t="n">
        <v>5</v>
      </c>
      <c r="C35" s="124" t="n"/>
      <c r="D35" s="121" t="n"/>
      <c r="E35" s="139" t="n"/>
      <c r="F35" s="139" t="n"/>
      <c r="G35" s="139" t="n"/>
      <c r="H35" s="139" t="n"/>
      <c r="I35" s="139" t="n"/>
      <c r="J35" s="139" t="n"/>
      <c r="K35" s="139" t="n"/>
      <c r="L35" s="139" t="n"/>
      <c r="M35" s="139" t="n"/>
      <c r="N35" s="139" t="n"/>
      <c r="O35" s="139" t="n"/>
      <c r="P35" s="139" t="n"/>
    </row>
    <row r="36" ht="15" customHeight="1" s="160">
      <c r="B36" s="42" t="n">
        <v>6</v>
      </c>
      <c r="C36" s="129" t="n"/>
      <c r="D36" s="130" t="n"/>
      <c r="E36" s="139" t="n"/>
      <c r="F36" s="139" t="n"/>
      <c r="G36" s="139" t="n"/>
      <c r="H36" s="139" t="n"/>
      <c r="I36" s="139" t="n"/>
      <c r="J36" s="139" t="n"/>
      <c r="K36" s="139" t="n"/>
      <c r="L36" s="139" t="n"/>
      <c r="M36" s="139" t="n"/>
      <c r="N36" s="139" t="n"/>
      <c r="O36" s="139" t="n"/>
      <c r="P36" s="139" t="n"/>
    </row>
    <row r="37" ht="15" customHeight="1" s="160">
      <c r="B37" s="38" t="n">
        <v>7</v>
      </c>
      <c r="C37" s="124" t="n"/>
      <c r="D37" s="121" t="n"/>
      <c r="E37" s="139" t="n"/>
      <c r="F37" s="139" t="n"/>
      <c r="G37" s="139" t="n"/>
      <c r="H37" s="139" t="n"/>
      <c r="I37" s="139" t="n"/>
      <c r="J37" s="139" t="n"/>
      <c r="K37" s="139" t="n"/>
      <c r="L37" s="139" t="n"/>
      <c r="M37" s="139" t="n"/>
      <c r="N37" s="139" t="n"/>
      <c r="O37" s="139" t="n"/>
      <c r="P37" s="139" t="n"/>
    </row>
    <row r="38" ht="15" customHeight="1" s="160">
      <c r="B38" s="144" t="inlineStr">
        <is>
          <t>Average</t>
        </is>
      </c>
      <c r="C38" s="145">
        <f>AVERAGE(C31:C37)</f>
        <v/>
      </c>
      <c r="D38" s="146">
        <f>AVERAGE(D31:D37)</f>
        <v/>
      </c>
      <c r="E38" s="140" t="n"/>
      <c r="F38" s="140" t="n"/>
      <c r="G38" s="140" t="n"/>
      <c r="H38" s="140" t="n"/>
      <c r="I38" s="140" t="n"/>
      <c r="J38" s="140" t="n"/>
      <c r="K38" s="140" t="n"/>
      <c r="L38" s="140" t="n"/>
      <c r="M38" s="140" t="n"/>
      <c r="N38" s="140" t="n"/>
      <c r="O38" s="140" t="n"/>
      <c r="P38" s="140" t="n"/>
    </row>
    <row r="39" ht="15" customHeight="1" s="160">
      <c r="B39" s="147" t="inlineStr">
        <is>
          <t>Subject</t>
        </is>
      </c>
      <c r="C39" s="148">
        <f>$I$4</f>
        <v/>
      </c>
      <c r="D39" s="149">
        <f>$J$4</f>
        <v/>
      </c>
      <c r="E39" s="140" t="n"/>
      <c r="F39" s="140" t="n"/>
      <c r="G39" s="140" t="n"/>
      <c r="H39" s="140" t="n"/>
      <c r="I39" s="140" t="n"/>
      <c r="J39" s="140" t="n"/>
      <c r="K39" s="140" t="n"/>
      <c r="L39" s="140" t="n"/>
      <c r="M39" s="140" t="n"/>
      <c r="N39" s="140" t="n"/>
      <c r="O39" s="140" t="n"/>
      <c r="P39" s="140" t="n"/>
    </row>
    <row r="40" ht="6" customHeight="1" s="160"/>
    <row r="41" ht="18" customHeight="1" s="160">
      <c r="B41" s="236" t="inlineStr">
        <is>
          <t>QUALITATIVE ANALYSIS</t>
        </is>
      </c>
      <c r="C41" s="162" t="n"/>
      <c r="D41" s="162" t="n"/>
      <c r="E41" s="162" t="n"/>
      <c r="F41" s="162" t="n"/>
      <c r="G41" s="162" t="n"/>
      <c r="H41" s="162" t="n"/>
      <c r="I41" s="162" t="n"/>
      <c r="J41" s="162" t="n"/>
      <c r="K41" s="162" t="n"/>
      <c r="L41" s="162" t="n"/>
      <c r="M41" s="162" t="n"/>
      <c r="N41" s="162" t="n"/>
      <c r="O41" s="162" t="n"/>
      <c r="P41" s="162" t="n"/>
      <c r="Q41" s="163" t="n"/>
    </row>
    <row r="42" ht="16.04999923706055" customHeight="1" s="160">
      <c r="B42" s="141" t="inlineStr">
        <is>
          <t>Sale No.</t>
        </is>
      </c>
      <c r="C42" s="141" t="inlineStr">
        <is>
          <t>Median Income</t>
        </is>
      </c>
      <c r="D42" s="141" t="inlineStr">
        <is>
          <t>Population</t>
        </is>
      </c>
      <c r="E42" s="141" t="inlineStr">
        <is>
          <t>Access</t>
        </is>
      </c>
      <c r="F42" s="141" t="inlineStr">
        <is>
          <t>Visibility</t>
        </is>
      </c>
      <c r="G42" s="141" t="inlineStr">
        <is>
          <t>Quality</t>
        </is>
      </c>
      <c r="H42" s="141" t="inlineStr">
        <is>
          <t>Condition</t>
        </is>
      </c>
      <c r="I42" s="141" t="inlineStr">
        <is>
          <t>Age</t>
        </is>
      </c>
      <c r="J42" s="141" t="inlineStr">
        <is>
          <t>Flood Zone</t>
        </is>
      </c>
      <c r="K42" s="141" t="inlineStr">
        <is>
          <t>LTB</t>
        </is>
      </c>
      <c r="L42" s="141" t="inlineStr">
        <is>
          <t>Utility</t>
        </is>
      </c>
      <c r="M42" s="141" t="inlineStr">
        <is>
          <t>Overall</t>
        </is>
      </c>
      <c r="N42" s="141" t="n"/>
      <c r="O42" s="141" t="inlineStr">
        <is>
          <t>Similar</t>
        </is>
      </c>
      <c r="P42" s="141" t="inlineStr">
        <is>
          <t>Superior</t>
        </is>
      </c>
      <c r="Q42" s="141" t="inlineStr">
        <is>
          <t>Inferior</t>
        </is>
      </c>
    </row>
    <row r="43" ht="15" customHeight="1" s="160">
      <c r="B43" s="38" t="n">
        <v>1</v>
      </c>
      <c r="C43" s="38">
        <f>IF(C31&gt;$I$4*1.1,"Superior",IF(C31&lt;$I$4*0.9,"Inferior","Similar"))</f>
        <v/>
      </c>
      <c r="D43" s="38">
        <f>IF(D31&gt;$J$4*1.1,"Superior",IF(D31&lt;$J$4*0.9,"Inferior","Similar"))</f>
        <v/>
      </c>
      <c r="E43" s="38" t="n"/>
      <c r="F43" s="38" t="n"/>
      <c r="G43" s="38" t="n"/>
      <c r="H43" s="38" t="n"/>
      <c r="I43" s="38" t="n"/>
      <c r="J43" s="38">
        <f>IF($K$4="No",IF(J9="No","Similar","Inferior"),IF(J9="No","Superior","Similar"))</f>
        <v/>
      </c>
      <c r="K43" s="38">
        <f>IF(K9&gt;$L$4*1.1,"Superior",IF(K9&lt;$L$4*0.9,"Inferior","Similar"))</f>
        <v/>
      </c>
      <c r="L43" s="38" t="n"/>
      <c r="M43" s="38" t="n"/>
      <c r="N43" s="38" t="n"/>
      <c r="O43" s="38" t="n"/>
      <c r="P43" s="38" t="n"/>
      <c r="Q43" s="38" t="n"/>
    </row>
    <row r="44" ht="15" customHeight="1" s="160">
      <c r="B44" s="42" t="n">
        <v>2</v>
      </c>
      <c r="C44" s="42">
        <f>IF(C32&gt;$I$4*1.1,"Superior",IF(C32&lt;$I$4*0.9,"Inferior","Similar"))</f>
        <v/>
      </c>
      <c r="D44" s="42">
        <f>IF(D32&gt;$J$4*1.1,"Superior",IF(D32&lt;$J$4*0.9,"Inferior","Similar"))</f>
        <v/>
      </c>
      <c r="E44" s="42" t="n"/>
      <c r="F44" s="42" t="n"/>
      <c r="G44" s="42" t="n"/>
      <c r="H44" s="42" t="n"/>
      <c r="I44" s="42" t="n"/>
      <c r="J44" s="42">
        <f>IF($K$4="No",IF(J10="No","Similar","Inferior"),IF(J10="No","Superior","Similar"))</f>
        <v/>
      </c>
      <c r="K44" s="42">
        <f>IF(K10&gt;$L$4*1.1,"Superior",IF(K10&lt;$L$4*0.9,"Inferior","Similar"))</f>
        <v/>
      </c>
      <c r="L44" s="42" t="n"/>
      <c r="M44" s="42" t="n"/>
      <c r="N44" s="42" t="n"/>
      <c r="O44" s="42" t="n"/>
      <c r="P44" s="42" t="n"/>
      <c r="Q44" s="42" t="n"/>
    </row>
    <row r="45" ht="15" customHeight="1" s="160">
      <c r="B45" s="38" t="n">
        <v>3</v>
      </c>
      <c r="C45" s="38">
        <f>IF(C33&gt;$I$4*1.1,"Superior",IF(C33&lt;$I$4*0.9,"Inferior","Similar"))</f>
        <v/>
      </c>
      <c r="D45" s="38">
        <f>IF(D33&gt;$J$4*1.1,"Superior",IF(D33&lt;$J$4*0.9,"Inferior","Similar"))</f>
        <v/>
      </c>
      <c r="E45" s="38" t="n"/>
      <c r="F45" s="38" t="n"/>
      <c r="G45" s="38" t="n"/>
      <c r="H45" s="38" t="n"/>
      <c r="I45" s="38" t="n"/>
      <c r="J45" s="38">
        <f>IF($K$4="No",IF(J11="No","Similar","Inferior"),IF(J11="No","Superior","Similar"))</f>
        <v/>
      </c>
      <c r="K45" s="38">
        <f>IF(K11&gt;$L$4*1.1,"Superior",IF(K11&lt;$L$4*0.9,"Inferior","Similar"))</f>
        <v/>
      </c>
      <c r="L45" s="38" t="n"/>
      <c r="M45" s="38" t="n"/>
      <c r="N45" s="38" t="n"/>
      <c r="O45" s="38" t="n"/>
      <c r="P45" s="38" t="n"/>
      <c r="Q45" s="38" t="n"/>
    </row>
    <row r="46" ht="15" customHeight="1" s="160">
      <c r="B46" s="42" t="n">
        <v>4</v>
      </c>
      <c r="C46" s="42">
        <f>IF(C34&gt;$I$4*1.1,"Superior",IF(C34&lt;$I$4*0.9,"Inferior","Similar"))</f>
        <v/>
      </c>
      <c r="D46" s="42">
        <f>IF(D34&gt;$J$4*1.1,"Superior",IF(D34&lt;$J$4*0.9,"Inferior","Similar"))</f>
        <v/>
      </c>
      <c r="E46" s="42" t="n"/>
      <c r="F46" s="42" t="n"/>
      <c r="G46" s="42" t="n"/>
      <c r="H46" s="42" t="n"/>
      <c r="I46" s="42" t="n"/>
      <c r="J46" s="42">
        <f>IF($K$4="No",IF(J12="No","Similar","Inferior"),IF(J12="No","Superior","Similar"))</f>
        <v/>
      </c>
      <c r="K46" s="42">
        <f>IF(K12&gt;$L$4*1.1,"Superior",IF(K12&lt;$L$4*0.9,"Inferior","Similar"))</f>
        <v/>
      </c>
      <c r="L46" s="42" t="n"/>
      <c r="M46" s="42" t="n"/>
      <c r="N46" s="42" t="n"/>
      <c r="O46" s="42" t="n"/>
      <c r="P46" s="42" t="n"/>
      <c r="Q46" s="42" t="n"/>
    </row>
    <row r="47" ht="15" customHeight="1" s="160">
      <c r="B47" s="38" t="n">
        <v>5</v>
      </c>
      <c r="C47" s="38">
        <f>IF(C35&gt;$I$4*1.1,"Superior",IF(C35&lt;$I$4*0.9,"Inferior","Similar"))</f>
        <v/>
      </c>
      <c r="D47" s="38">
        <f>IF(D35&gt;$J$4*1.1,"Superior",IF(D35&lt;$J$4*0.9,"Inferior","Similar"))</f>
        <v/>
      </c>
      <c r="E47" s="38" t="n"/>
      <c r="F47" s="38" t="n"/>
      <c r="G47" s="38" t="n"/>
      <c r="H47" s="38" t="n"/>
      <c r="I47" s="38" t="n"/>
      <c r="J47" s="38">
        <f>IF($K$4="No",IF(J13="No","Similar","Inferior"),IF(J13="No","Superior","Similar"))</f>
        <v/>
      </c>
      <c r="K47" s="38">
        <f>IF(K13&gt;$L$4*1.1,"Superior",IF(K13&lt;$L$4*0.9,"Inferior","Similar"))</f>
        <v/>
      </c>
      <c r="L47" s="38" t="n"/>
      <c r="M47" s="38" t="n"/>
      <c r="N47" s="38" t="n"/>
      <c r="O47" s="38" t="n"/>
      <c r="P47" s="38" t="n"/>
      <c r="Q47" s="38" t="n"/>
    </row>
    <row r="48" ht="15" customHeight="1" s="160">
      <c r="B48" s="42" t="n">
        <v>6</v>
      </c>
      <c r="C48" s="42">
        <f>IF(C36&gt;$I$4*1.1,"Superior",IF(C36&lt;$I$4*0.9,"Inferior","Similar"))</f>
        <v/>
      </c>
      <c r="D48" s="42">
        <f>IF(D36&gt;$J$4*1.1,"Superior",IF(D36&lt;$J$4*0.9,"Inferior","Similar"))</f>
        <v/>
      </c>
      <c r="E48" s="42" t="n"/>
      <c r="F48" s="42" t="n"/>
      <c r="G48" s="42" t="n"/>
      <c r="H48" s="42" t="n"/>
      <c r="I48" s="42" t="n"/>
      <c r="J48" s="42">
        <f>IF($K$4="No",IF(J14="No","Similar","Inferior"),IF(J14="No","Superior","Similar"))</f>
        <v/>
      </c>
      <c r="K48" s="42">
        <f>IF(K14&gt;$L$4*1.1,"Superior",IF(K14&lt;$L$4*0.9,"Inferior","Similar"))</f>
        <v/>
      </c>
      <c r="L48" s="42" t="n"/>
      <c r="M48" s="42" t="n"/>
      <c r="N48" s="42" t="n"/>
      <c r="O48" s="42" t="n"/>
      <c r="P48" s="42" t="n"/>
      <c r="Q48" s="42" t="n"/>
    </row>
    <row r="49" ht="15" customHeight="1" s="160">
      <c r="B49" s="38" t="n">
        <v>7</v>
      </c>
      <c r="C49" s="38">
        <f>IF(C37&gt;$I$4*1.1,"Superior",IF(C37&lt;$I$4*0.9,"Inferior","Similar"))</f>
        <v/>
      </c>
      <c r="D49" s="38">
        <f>IF(D37&gt;$J$4*1.1,"Superior",IF(D37&lt;$J$4*0.9,"Inferior","Similar"))</f>
        <v/>
      </c>
      <c r="E49" s="38" t="n"/>
      <c r="F49" s="38" t="n"/>
      <c r="G49" s="38" t="n"/>
      <c r="H49" s="38" t="n"/>
      <c r="I49" s="38" t="n"/>
      <c r="J49" s="38">
        <f>IF($K$4="No",IF(J15="No","Similar","Inferior"),IF(J15="No","Superior","Similar"))</f>
        <v/>
      </c>
      <c r="K49" s="38">
        <f>IF(K15&gt;$L$4*1.1,"Superior",IF(K15&lt;$L$4*0.9,"Inferior","Similar"))</f>
        <v/>
      </c>
      <c r="L49" s="38" t="n"/>
      <c r="M49" s="38" t="n"/>
      <c r="N49" s="38" t="n"/>
      <c r="O49" s="38" t="n"/>
      <c r="P49" s="38" t="n"/>
      <c r="Q49" s="38" t="n"/>
    </row>
    <row r="50" ht="6" customHeight="1" s="160"/>
    <row r="51" ht="13.94999980926514" customHeight="1" s="160">
      <c r="B51" s="48" t="n"/>
      <c r="C51" s="137" t="n"/>
      <c r="D51" s="137" t="n"/>
      <c r="E51" s="137" t="n"/>
      <c r="F51" s="137" t="n"/>
      <c r="G51" s="137" t="n"/>
      <c r="H51" s="137" t="n"/>
      <c r="I51" s="137" t="n"/>
      <c r="J51" s="137" t="n"/>
      <c r="K51" s="137" t="n"/>
      <c r="L51" s="137" t="inlineStr">
        <is>
          <t>avg</t>
        </is>
      </c>
      <c r="M51" s="137">
        <f>AVERAGE(sales!J20,sales!J22,sales!J23,sales!J24,sales!J25,sales!J26)</f>
        <v/>
      </c>
      <c r="N51" s="137" t="n"/>
      <c r="O51" s="137" t="n"/>
      <c r="P51" s="137" t="n"/>
      <c r="Q51" s="137" t="n"/>
    </row>
    <row r="52" ht="13.94999980926514" customHeight="1" s="160">
      <c r="B52" s="48" t="n"/>
      <c r="C52" s="137" t="n"/>
      <c r="D52" s="137" t="n"/>
      <c r="E52" s="137" t="n"/>
      <c r="F52" s="137" t="n"/>
      <c r="G52" s="137" t="n"/>
      <c r="H52" s="137" t="n"/>
      <c r="I52" s="137" t="n"/>
      <c r="J52" s="137" t="n"/>
      <c r="K52" s="137" t="n"/>
      <c r="L52" s="137" t="inlineStr">
        <is>
          <t>med</t>
        </is>
      </c>
      <c r="M52" s="137">
        <f>MEDIAN(sales!J20,sales!J22,sales!J23,sales!J24,sales!J25,sales!J26)</f>
        <v/>
      </c>
      <c r="N52" s="137" t="n"/>
      <c r="O52" s="137" t="n"/>
      <c r="P52" s="137" t="n"/>
      <c r="Q52" s="137" t="n"/>
    </row>
    <row r="53" ht="6" customHeight="1" s="160"/>
    <row r="54" ht="18" customHeight="1" s="160">
      <c r="B54" s="186" t="inlineStr">
        <is>
          <t>SALES CONCLUSION</t>
        </is>
      </c>
      <c r="C54" s="162" t="n"/>
      <c r="D54" s="162" t="n"/>
      <c r="E54" s="190" t="n"/>
      <c r="F54" s="190" t="n"/>
      <c r="G54" s="190" t="n"/>
      <c r="H54" s="190" t="n"/>
      <c r="I54" s="190" t="n"/>
      <c r="J54" s="190" t="n"/>
      <c r="K54" s="190" t="n"/>
      <c r="L54" s="190" t="n"/>
      <c r="M54" s="190" t="n"/>
      <c r="N54" s="190" t="n"/>
      <c r="O54" s="190" t="n"/>
      <c r="P54" s="190" t="n"/>
      <c r="Q54" s="190" t="n"/>
    </row>
    <row r="55" ht="13.80000019073486" customHeight="1" s="160">
      <c r="B55" s="141" t="inlineStr">
        <is>
          <t>GBA</t>
        </is>
      </c>
      <c r="C55" s="142" t="inlineStr">
        <is>
          <t>Price per unit</t>
        </is>
      </c>
      <c r="D55" s="188" t="inlineStr">
        <is>
          <t>Property value</t>
        </is>
      </c>
      <c r="E55" s="191" t="n"/>
      <c r="F55" s="191" t="n"/>
      <c r="G55" s="191" t="n"/>
      <c r="H55" s="191" t="n"/>
      <c r="I55" s="191" t="n"/>
      <c r="J55" s="191" t="n"/>
      <c r="K55" s="191" t="n"/>
      <c r="L55" s="191" t="n"/>
      <c r="M55" s="191" t="n"/>
      <c r="N55" s="191" t="n"/>
      <c r="O55" s="191" t="n"/>
      <c r="P55" s="191" t="n"/>
      <c r="Q55" s="191" t="n"/>
    </row>
    <row r="56" ht="16.04999923706055" customHeight="1" s="160">
      <c r="B56" s="143" t="n"/>
      <c r="C56" s="143" t="n"/>
      <c r="D56" s="189">
        <f>B56*C56</f>
        <v/>
      </c>
      <c r="E56" s="192" t="n"/>
      <c r="F56" s="192" t="n"/>
      <c r="G56" s="192" t="n"/>
      <c r="H56" s="192" t="n"/>
      <c r="I56" s="192" t="n"/>
      <c r="J56" s="192" t="n"/>
      <c r="K56" s="192" t="n"/>
      <c r="L56" s="192" t="n"/>
      <c r="M56" s="192" t="n"/>
      <c r="N56" s="192" t="n"/>
      <c r="O56" s="192" t="n"/>
      <c r="P56" s="192" t="n"/>
      <c r="Q56" s="192" t="n"/>
    </row>
  </sheetData>
  <mergeCells count="6">
    <mergeCell ref="B7:L7"/>
    <mergeCell ref="B41:Q41"/>
    <mergeCell ref="B29:E29"/>
    <mergeCell ref="B18:J18"/>
    <mergeCell ref="B2:H2"/>
    <mergeCell ref="B54:D54"/>
  </mergeCells>
  <conditionalFormatting sqref="C43:M49">
    <cfRule type="expression" priority="1" dxfId="1">
      <formula>C43="Superior"</formula>
    </cfRule>
    <cfRule type="expression" priority="2" dxfId="0">
      <formula>C43="Inferior"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42"/>
  <sheetViews>
    <sheetView workbookViewId="0">
      <selection activeCell="A1" sqref="A1"/>
    </sheetView>
  </sheetViews>
  <sheetFormatPr baseColWidth="8" defaultRowHeight="13.19999980926514"/>
  <cols>
    <col width="2" customWidth="1" style="160" min="1" max="1"/>
    <col width="13.5546875" customWidth="1" style="160" min="2" max="2"/>
    <col width="28" customWidth="1" style="160" min="3" max="3"/>
    <col width="12" customWidth="1" style="160" min="4" max="4"/>
    <col width="14" customWidth="1" style="160" min="5" max="6"/>
    <col width="12" customWidth="1" style="160" min="7" max="7"/>
    <col width="10" customWidth="1" style="160" min="8" max="8"/>
    <col width="8" customWidth="1" style="160" min="9" max="9"/>
    <col width="12" customWidth="1" style="160" min="10" max="10"/>
  </cols>
  <sheetData>
    <row r="1" ht="6" customHeight="1" s="160"/>
    <row r="2" ht="18" customHeight="1" s="160">
      <c r="B2" s="236" t="inlineStr">
        <is>
          <t>COMPARABLE LAND SALES — SUMMARY</t>
        </is>
      </c>
      <c r="C2" s="162" t="n"/>
      <c r="D2" s="162" t="n"/>
      <c r="E2" s="162" t="n"/>
      <c r="F2" s="162" t="n"/>
      <c r="G2" s="162" t="n"/>
      <c r="H2" s="162" t="n"/>
      <c r="I2" s="162" t="n"/>
      <c r="J2" s="163" t="n"/>
    </row>
    <row r="3" ht="13.94999980926514" customHeight="1" s="160">
      <c r="B3" s="237" t="inlineStr">
        <is>
          <t>Subject: 100 Example Commerce Way, Sample City — 55,452 SF (1.27 Ac), Zone X, C-5</t>
        </is>
      </c>
      <c r="C3" s="162" t="n"/>
      <c r="D3" s="162" t="n"/>
      <c r="E3" s="162" t="n"/>
      <c r="F3" s="162" t="n"/>
      <c r="G3" s="162" t="n"/>
      <c r="H3" s="162" t="n"/>
      <c r="I3" s="162" t="n"/>
      <c r="J3" s="163" t="n"/>
    </row>
    <row r="4" ht="16.04999923706055" customHeight="1" s="160">
      <c r="B4" s="37" t="inlineStr">
        <is>
          <t>Sale No.</t>
        </is>
      </c>
      <c r="C4" s="37" t="inlineStr">
        <is>
          <t>Location</t>
        </is>
      </c>
      <c r="D4" s="37" t="inlineStr">
        <is>
          <t>Sale Date</t>
        </is>
      </c>
      <c r="E4" s="37" t="inlineStr">
        <is>
          <t>Sale Price</t>
        </is>
      </c>
      <c r="F4" s="37" t="inlineStr">
        <is>
          <t>Site Area (SF)</t>
        </is>
      </c>
      <c r="G4" s="37" t="inlineStr">
        <is>
          <t>Price/SF</t>
        </is>
      </c>
      <c r="H4" s="37" t="inlineStr">
        <is>
          <t>Flood Zone</t>
        </is>
      </c>
      <c r="I4" s="37" t="inlineStr">
        <is>
          <t>Zoning</t>
        </is>
      </c>
      <c r="J4" s="37" t="inlineStr">
        <is>
          <t>Shape</t>
        </is>
      </c>
    </row>
    <row r="5" ht="15" customHeight="1" s="160">
      <c r="B5" s="56" t="n">
        <v>1</v>
      </c>
      <c r="C5" s="56" t="n"/>
      <c r="D5" s="56" t="n"/>
      <c r="E5" s="57" t="n"/>
      <c r="F5" s="57" t="n"/>
      <c r="G5" s="57">
        <f>E5/F5</f>
        <v/>
      </c>
      <c r="H5" s="57" t="n"/>
      <c r="I5" s="57" t="n"/>
      <c r="J5" s="57" t="n"/>
    </row>
    <row r="6" ht="15" customHeight="1" s="160">
      <c r="B6" s="58" t="n">
        <v>2</v>
      </c>
      <c r="C6" s="58" t="n"/>
      <c r="D6" s="58" t="n"/>
      <c r="E6" s="59" t="n"/>
      <c r="F6" s="59" t="n"/>
      <c r="G6" s="59">
        <f>E6/F6</f>
        <v/>
      </c>
      <c r="H6" s="59" t="n"/>
      <c r="I6" s="59" t="n"/>
      <c r="J6" s="59" t="n"/>
    </row>
    <row r="7" ht="15" customHeight="1" s="160">
      <c r="B7" s="56" t="n">
        <v>3</v>
      </c>
      <c r="C7" s="56" t="n"/>
      <c r="D7" s="56" t="n"/>
      <c r="E7" s="57" t="n"/>
      <c r="F7" s="57" t="n"/>
      <c r="G7" s="57">
        <f>E7/F7</f>
        <v/>
      </c>
      <c r="H7" s="57" t="n"/>
      <c r="I7" s="57" t="n"/>
      <c r="J7" s="57" t="n"/>
    </row>
    <row r="8" ht="15" customHeight="1" s="160">
      <c r="B8" s="58" t="n">
        <v>4</v>
      </c>
      <c r="C8" s="58" t="n"/>
      <c r="D8" s="58" t="n"/>
      <c r="E8" s="59" t="n"/>
      <c r="F8" s="59" t="n"/>
      <c r="G8" s="59">
        <f>E8/F8</f>
        <v/>
      </c>
      <c r="H8" s="59" t="n"/>
      <c r="I8" s="59" t="n"/>
      <c r="J8" s="59" t="n"/>
    </row>
    <row r="9" ht="15" customHeight="1" s="160">
      <c r="B9" s="56" t="n">
        <v>5</v>
      </c>
      <c r="C9" s="56" t="n"/>
      <c r="D9" s="56" t="n"/>
      <c r="E9" s="57" t="n"/>
      <c r="F9" s="57" t="n"/>
      <c r="G9" s="57">
        <f>E9/F9</f>
        <v/>
      </c>
      <c r="H9" s="57" t="n"/>
      <c r="I9" s="57" t="n"/>
      <c r="J9" s="57" t="n"/>
    </row>
    <row r="10" ht="16.04999923706055" customHeight="1" s="160">
      <c r="B10" s="60" t="inlineStr">
        <is>
          <t>MEAN</t>
        </is>
      </c>
      <c r="C10" s="61" t="n"/>
      <c r="D10" s="61" t="n"/>
      <c r="E10" s="61">
        <f>AVERAGE(E5:E9)</f>
        <v/>
      </c>
      <c r="F10" s="61">
        <f>AVERAGE(F5:F9)</f>
        <v/>
      </c>
      <c r="G10" s="61">
        <f>AVERAGE(G5:G9)</f>
        <v/>
      </c>
      <c r="H10" s="61" t="n"/>
      <c r="I10" s="61" t="n"/>
      <c r="J10" s="61" t="n"/>
    </row>
    <row r="11" ht="15" customHeight="1" s="160">
      <c r="B11" s="62" t="inlineStr">
        <is>
          <t>SUBJECT</t>
        </is>
      </c>
      <c r="C11" s="63" t="n"/>
      <c r="D11" s="63" t="n"/>
      <c r="E11" s="63" t="n"/>
      <c r="F11" s="64" t="n"/>
      <c r="G11" s="64" t="n"/>
      <c r="H11" s="64" t="n"/>
      <c r="I11" s="64" t="n"/>
      <c r="J11" s="64" t="n"/>
    </row>
    <row r="12" ht="6" customHeight="1" s="160"/>
    <row r="13" ht="18" customHeight="1" s="160">
      <c r="B13" s="236" t="inlineStr">
        <is>
          <t>LAND SALES ADJUSTMENT GRID</t>
        </is>
      </c>
      <c r="C13" s="162" t="n"/>
      <c r="D13" s="162" t="n"/>
      <c r="E13" s="162" t="n"/>
      <c r="F13" s="162" t="n"/>
      <c r="G13" s="162" t="n"/>
      <c r="H13" s="162" t="n"/>
      <c r="I13" s="162" t="n"/>
      <c r="J13" s="163" t="n"/>
    </row>
    <row r="14" ht="30" customHeight="1" s="160">
      <c r="B14" s="37" t="inlineStr">
        <is>
          <t>Sale No.</t>
        </is>
      </c>
      <c r="C14" s="37" t="inlineStr">
        <is>
          <t>Sale Date</t>
        </is>
      </c>
      <c r="D14" s="37" t="inlineStr">
        <is>
          <t>Price/SF</t>
        </is>
      </c>
      <c r="E14" s="37" t="inlineStr">
        <is>
          <t>Mkt Cond Adj.</t>
        </is>
      </c>
      <c r="F14" s="37" t="inlineStr">
        <is>
          <t>Adj. Price/SF</t>
        </is>
      </c>
      <c r="G14" s="37" t="inlineStr">
        <is>
          <t>Size Adj.</t>
        </is>
      </c>
      <c r="H14" s="37" t="inlineStr">
        <is>
          <t>Location Adj.</t>
        </is>
      </c>
      <c r="I14" s="37" t="inlineStr">
        <is>
          <t>Net Adj.</t>
        </is>
      </c>
      <c r="J14" s="37" t="inlineStr">
        <is>
          <t>Indicated $/SF</t>
        </is>
      </c>
    </row>
    <row r="15" ht="15" customHeight="1" s="160">
      <c r="B15" s="56" t="n">
        <v>1</v>
      </c>
      <c r="C15" s="56" t="n"/>
      <c r="D15" s="57" t="n"/>
      <c r="E15" s="65" t="n"/>
      <c r="F15" s="57">
        <f>D15*(1+E15)</f>
        <v/>
      </c>
      <c r="G15" s="65" t="n"/>
      <c r="H15" s="65" t="n"/>
      <c r="I15" s="65" t="n"/>
      <c r="J15" s="65">
        <f>F15*(1+I15)</f>
        <v/>
      </c>
    </row>
    <row r="16" ht="15" customHeight="1" s="160">
      <c r="B16" s="58" t="n">
        <v>2</v>
      </c>
      <c r="C16" s="58" t="n"/>
      <c r="D16" s="59" t="n"/>
      <c r="E16" s="65" t="n"/>
      <c r="F16" s="59">
        <f>D16*(1+E16)</f>
        <v/>
      </c>
      <c r="G16" s="65" t="n"/>
      <c r="H16" s="65" t="n"/>
      <c r="I16" s="65" t="n"/>
      <c r="J16" s="65">
        <f>F16*(1+I16)</f>
        <v/>
      </c>
    </row>
    <row r="17" ht="15" customHeight="1" s="160">
      <c r="B17" s="56" t="n">
        <v>3</v>
      </c>
      <c r="C17" s="56" t="n"/>
      <c r="D17" s="57" t="n"/>
      <c r="E17" s="65" t="n"/>
      <c r="F17" s="57">
        <f>D17*(1+E17)</f>
        <v/>
      </c>
      <c r="G17" s="65" t="n"/>
      <c r="H17" s="65" t="n"/>
      <c r="I17" s="65" t="n"/>
      <c r="J17" s="65">
        <f>F17*(1+I17)</f>
        <v/>
      </c>
    </row>
    <row r="18" ht="15" customHeight="1" s="160">
      <c r="B18" s="58" t="n">
        <v>4</v>
      </c>
      <c r="C18" s="58" t="n"/>
      <c r="D18" s="59" t="n"/>
      <c r="E18" s="65" t="n"/>
      <c r="F18" s="59">
        <f>D18*(1+E18)</f>
        <v/>
      </c>
      <c r="G18" s="65" t="n"/>
      <c r="H18" s="65" t="n"/>
      <c r="I18" s="65" t="n"/>
      <c r="J18" s="65">
        <f>F18*(1+I18)</f>
        <v/>
      </c>
    </row>
    <row r="19" ht="15" customHeight="1" s="160">
      <c r="B19" s="56" t="n">
        <v>5</v>
      </c>
      <c r="C19" s="56" t="n"/>
      <c r="D19" s="57" t="n"/>
      <c r="E19" s="65" t="n"/>
      <c r="F19" s="57">
        <f>D19*(1+E19)</f>
        <v/>
      </c>
      <c r="G19" s="65" t="n"/>
      <c r="H19" s="65" t="n"/>
      <c r="I19" s="65" t="n"/>
      <c r="J19" s="65">
        <f>F19*(1+I19)</f>
        <v/>
      </c>
    </row>
    <row r="20" ht="16.04999923706055" customHeight="1" s="160">
      <c r="B20" s="60" t="inlineStr">
        <is>
          <t>MEAN</t>
        </is>
      </c>
      <c r="C20" s="61" t="n"/>
      <c r="D20" s="61">
        <f>AVERAGE(D15:D19)</f>
        <v/>
      </c>
      <c r="E20" s="61" t="n"/>
      <c r="F20" s="61">
        <f>AVERAGE(F15:F19)</f>
        <v/>
      </c>
      <c r="G20" s="61" t="n"/>
      <c r="H20" s="61" t="n"/>
      <c r="I20" s="61" t="n"/>
      <c r="J20" s="61">
        <f>AVERAGE(J15:J19)</f>
        <v/>
      </c>
    </row>
    <row r="21" ht="6" customHeight="1" s="160"/>
    <row r="22" ht="18" customHeight="1" s="160">
      <c r="B22" s="236" t="inlineStr">
        <is>
          <t>LAND VALUE CONCLUSION</t>
        </is>
      </c>
      <c r="C22" s="162" t="n"/>
      <c r="D22" s="162" t="n"/>
      <c r="E22" s="162" t="n"/>
      <c r="F22" s="162" t="n"/>
      <c r="G22" s="162" t="n"/>
      <c r="H22" s="162" t="n"/>
      <c r="I22" s="162" t="n"/>
      <c r="J22" s="163" t="n"/>
    </row>
    <row r="23" ht="28.79999923706055" customHeight="1" s="160">
      <c r="B23" s="56" t="inlineStr">
        <is>
          <t>Indicated Range ($/SF):</t>
        </is>
      </c>
      <c r="C23" s="56" t="n"/>
      <c r="D23" s="65">
        <f>MIN(J15:J19)</f>
        <v/>
      </c>
      <c r="E23" s="57" t="inlineStr">
        <is>
          <t>to</t>
        </is>
      </c>
      <c r="F23" s="57">
        <f>MAX(J15:J19)</f>
        <v/>
      </c>
      <c r="G23" s="57" t="n"/>
      <c r="H23" s="57" t="n"/>
      <c r="I23" s="57" t="n"/>
      <c r="J23" s="57" t="n"/>
    </row>
    <row r="24" ht="40.20000076293945" customHeight="1" s="160">
      <c r="B24" s="58" t="inlineStr">
        <is>
          <t>Concluded Land Value ($/SF):</t>
        </is>
      </c>
      <c r="C24" s="58" t="n"/>
      <c r="D24" s="65" t="n"/>
      <c r="E24" s="59" t="n"/>
      <c r="F24" s="59" t="n"/>
      <c r="G24" s="59" t="n"/>
      <c r="H24" s="59" t="n"/>
      <c r="I24" s="59" t="n"/>
      <c r="J24" s="59" t="n"/>
    </row>
    <row r="25" ht="15" customHeight="1" s="160">
      <c r="B25" s="56" t="inlineStr">
        <is>
          <t>Site Area (SF):</t>
        </is>
      </c>
      <c r="C25" s="56" t="n"/>
      <c r="D25" s="65" t="n"/>
      <c r="E25" s="57" t="n"/>
      <c r="F25" s="57" t="n"/>
      <c r="G25" s="57" t="n"/>
      <c r="H25" s="57" t="n"/>
      <c r="I25" s="57" t="n"/>
      <c r="J25" s="57" t="n"/>
    </row>
    <row r="26" ht="33.59999847412109" customHeight="1" s="160">
      <c r="B26" s="66" t="inlineStr">
        <is>
          <t>Concluded Land Value:</t>
        </is>
      </c>
      <c r="C26" s="66" t="n"/>
      <c r="D26" s="67">
        <f>D24*D25</f>
        <v/>
      </c>
      <c r="E26" s="67" t="n"/>
      <c r="F26" s="67" t="n"/>
      <c r="G26" s="67" t="n"/>
      <c r="H26" s="67" t="n"/>
      <c r="I26" s="67" t="n"/>
      <c r="J26" s="67" t="n"/>
    </row>
    <row r="27" ht="6" customHeight="1" s="160"/>
    <row r="28" ht="18" customHeight="1" s="160">
      <c r="B28" s="236" t="inlineStr">
        <is>
          <t>LAND SALES — ADJUSTMENT INPUTS</t>
        </is>
      </c>
      <c r="C28" s="162" t="n"/>
      <c r="D28" s="162" t="n"/>
      <c r="E28" s="162" t="n"/>
      <c r="F28" s="162" t="n"/>
      <c r="G28" s="162" t="n"/>
      <c r="H28" s="162" t="n"/>
      <c r="I28" s="162" t="n"/>
      <c r="J28" s="163" t="n"/>
    </row>
    <row r="29" ht="28.04999923706055" customHeight="1" s="160">
      <c r="B29" s="234" t="inlineStr">
        <is>
          <t>Enter adjustment % for each comp (positive = upward, negative = downward, 0 = no adjustment). Notes are optional; used by AI narrative generator.</t>
        </is>
      </c>
      <c r="C29" s="162" t="n"/>
      <c r="D29" s="162" t="n"/>
      <c r="E29" s="162" t="n"/>
      <c r="F29" s="162" t="n"/>
      <c r="G29" s="162" t="n"/>
      <c r="H29" s="162" t="n"/>
      <c r="I29" s="162" t="n"/>
      <c r="J29" s="163" t="n"/>
    </row>
    <row r="30" ht="37.79999923706055" customHeight="1" s="160">
      <c r="B30" s="37" t="inlineStr">
        <is>
          <t>Comp No.</t>
        </is>
      </c>
      <c r="C30" s="37" t="inlineStr">
        <is>
          <t>Location (auto-ref)</t>
        </is>
      </c>
      <c r="D30" s="37" t="inlineStr">
        <is>
          <t>Mkt Cond
Adj %</t>
        </is>
      </c>
      <c r="E30" s="37" t="inlineStr">
        <is>
          <t>Mkt Cond
Note</t>
        </is>
      </c>
      <c r="F30" s="37" t="inlineStr">
        <is>
          <t>Location
Adj %</t>
        </is>
      </c>
      <c r="G30" s="37" t="inlineStr">
        <is>
          <t>Location
Note</t>
        </is>
      </c>
      <c r="H30" s="37" t="inlineStr">
        <is>
          <t>Other
Adj %</t>
        </is>
      </c>
      <c r="I30" s="37" t="inlineStr">
        <is>
          <t>Other
Note</t>
        </is>
      </c>
      <c r="J30" s="37" t="inlineStr">
        <is>
          <t>Dilmore
Size Adj %</t>
        </is>
      </c>
    </row>
    <row r="31" ht="15" customHeight="1" s="160">
      <c r="B31" s="56" t="n">
        <v>1</v>
      </c>
      <c r="C31" s="56" t="inlineStr">
        <is>
          <t>Comp 1 Address</t>
        </is>
      </c>
      <c r="D31" s="65" t="n"/>
      <c r="E31" s="68" t="n"/>
      <c r="F31" s="65" t="n"/>
      <c r="G31" s="68" t="n"/>
      <c r="H31" s="65" t="n"/>
      <c r="I31" s="68" t="n"/>
      <c r="J31" s="68">
        <f>IFERROR(size_adj!D6,0)</f>
        <v/>
      </c>
    </row>
    <row r="32" ht="15" customHeight="1" s="160">
      <c r="B32" s="58" t="n">
        <v>2</v>
      </c>
      <c r="C32" s="58" t="inlineStr">
        <is>
          <t>Comp 2 Address</t>
        </is>
      </c>
      <c r="D32" s="65" t="n"/>
      <c r="E32" s="68" t="n"/>
      <c r="F32" s="65" t="n"/>
      <c r="G32" s="68" t="n"/>
      <c r="H32" s="65" t="n"/>
      <c r="I32" s="68" t="n"/>
      <c r="J32" s="68">
        <f>IFERROR(size_adj!D7,0)</f>
        <v/>
      </c>
    </row>
    <row r="33" ht="15" customHeight="1" s="160">
      <c r="B33" s="56" t="n">
        <v>3</v>
      </c>
      <c r="C33" s="56" t="inlineStr">
        <is>
          <t>Comp 3 Address</t>
        </is>
      </c>
      <c r="D33" s="65" t="n"/>
      <c r="E33" s="68" t="n"/>
      <c r="F33" s="65" t="n"/>
      <c r="G33" s="68" t="n"/>
      <c r="H33" s="65" t="n"/>
      <c r="I33" s="68" t="n"/>
      <c r="J33" s="68">
        <f>IFERROR(size_adj!D8,0)</f>
        <v/>
      </c>
    </row>
    <row r="34" ht="15" customHeight="1" s="160">
      <c r="B34" s="58" t="n">
        <v>4</v>
      </c>
      <c r="C34" s="58" t="inlineStr">
        <is>
          <t>Comp 4 Address</t>
        </is>
      </c>
      <c r="D34" s="65" t="n"/>
      <c r="E34" s="68" t="n"/>
      <c r="F34" s="65" t="n"/>
      <c r="G34" s="68" t="n"/>
      <c r="H34" s="65" t="n"/>
      <c r="I34" s="68" t="n"/>
      <c r="J34" s="68">
        <f>IFERROR(size_adj!D9,0)</f>
        <v/>
      </c>
    </row>
    <row r="35" ht="15" customHeight="1" s="160">
      <c r="B35" s="56" t="n">
        <v>5</v>
      </c>
      <c r="C35" s="56" t="inlineStr">
        <is>
          <t>Comp 5 Address</t>
        </is>
      </c>
      <c r="D35" s="65" t="n"/>
      <c r="E35" s="68" t="n"/>
      <c r="F35" s="65" t="n"/>
      <c r="G35" s="68" t="n"/>
      <c r="H35" s="65" t="n"/>
      <c r="I35" s="68" t="n"/>
      <c r="J35" s="68">
        <f>IFERROR(size_adj!D10,0)</f>
        <v/>
      </c>
    </row>
    <row r="36" ht="15" customHeight="1" s="160">
      <c r="B36" s="58" t="n">
        <v>6</v>
      </c>
      <c r="C36" s="58" t="inlineStr">
        <is>
          <t>Comp 6 Address</t>
        </is>
      </c>
      <c r="D36" s="65" t="n"/>
      <c r="E36" s="68" t="n"/>
      <c r="F36" s="65" t="n"/>
      <c r="G36" s="68" t="n"/>
      <c r="H36" s="65" t="n"/>
      <c r="I36" s="68" t="n"/>
      <c r="J36" s="68">
        <f>IFERROR(size_adj!D11,0)</f>
        <v/>
      </c>
    </row>
    <row r="37" ht="15" customHeight="1" s="160">
      <c r="B37" s="56" t="n">
        <v>7</v>
      </c>
      <c r="C37" s="56" t="inlineStr">
        <is>
          <t>Comp 7 Address</t>
        </is>
      </c>
      <c r="D37" s="65" t="n"/>
      <c r="E37" s="68" t="n"/>
      <c r="F37" s="65" t="n"/>
      <c r="G37" s="68" t="n"/>
      <c r="H37" s="65" t="n"/>
      <c r="I37" s="68" t="n"/>
      <c r="J37" s="68">
        <f>IFERROR(size_adj!D12,0)</f>
        <v/>
      </c>
    </row>
    <row r="38" ht="15" customHeight="1" s="160">
      <c r="B38" s="58" t="n">
        <v>8</v>
      </c>
      <c r="C38" s="58" t="inlineStr">
        <is>
          <t>Comp 8 Address</t>
        </is>
      </c>
      <c r="D38" s="65" t="n"/>
      <c r="E38" s="68" t="n"/>
      <c r="F38" s="65" t="n"/>
      <c r="G38" s="68" t="n"/>
      <c r="H38" s="65" t="n"/>
      <c r="I38" s="68" t="n"/>
      <c r="J38" s="68">
        <f>IFERROR(size_adj!D13,0)</f>
        <v/>
      </c>
    </row>
    <row r="39" ht="15" customHeight="1" s="160">
      <c r="B39" s="56" t="n">
        <v>9</v>
      </c>
      <c r="C39" s="56" t="inlineStr">
        <is>
          <t>Comp 9 Address</t>
        </is>
      </c>
      <c r="D39" s="65" t="n"/>
      <c r="E39" s="68" t="n"/>
      <c r="F39" s="65" t="n"/>
      <c r="G39" s="68" t="n"/>
      <c r="H39" s="65" t="n"/>
      <c r="I39" s="68" t="n"/>
      <c r="J39" s="68">
        <f>IFERROR(size_adj!D14,0)</f>
        <v/>
      </c>
    </row>
    <row r="40" ht="15" customHeight="1" s="160">
      <c r="B40" s="58" t="n">
        <v>10</v>
      </c>
      <c r="C40" s="58" t="inlineStr">
        <is>
          <t>Comp 10 Address</t>
        </is>
      </c>
      <c r="D40" s="65" t="n"/>
      <c r="E40" s="68" t="n"/>
      <c r="F40" s="65" t="n"/>
      <c r="G40" s="68" t="n"/>
      <c r="H40" s="65" t="n"/>
      <c r="I40" s="68" t="n"/>
      <c r="J40" s="68">
        <f>IFERROR(size_adj!D15,0)</f>
        <v/>
      </c>
    </row>
    <row r="41" ht="6" customHeight="1" s="160"/>
    <row r="42" ht="13.94999980926514" customHeight="1" s="160">
      <c r="B42" s="238" t="inlineStr">
        <is>
          <t>Note: Adjustment % should match values in the MARKET CHART adjustment grid. Narrative AI reads these inputs at deliver time.</t>
        </is>
      </c>
      <c r="C42" s="162" t="n"/>
      <c r="D42" s="162" t="n"/>
      <c r="E42" s="162" t="n"/>
      <c r="F42" s="162" t="n"/>
      <c r="G42" s="162" t="n"/>
      <c r="H42" s="162" t="n"/>
      <c r="I42" s="162" t="n"/>
      <c r="J42" s="163" t="n"/>
    </row>
  </sheetData>
  <mergeCells count="7">
    <mergeCell ref="B29:J29"/>
    <mergeCell ref="B3:J3"/>
    <mergeCell ref="B28:J28"/>
    <mergeCell ref="B42:J42"/>
    <mergeCell ref="B22:J22"/>
    <mergeCell ref="B13:J13"/>
    <mergeCell ref="B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71"/>
  <sheetViews>
    <sheetView workbookViewId="0">
      <selection activeCell="A1" sqref="A1"/>
    </sheetView>
  </sheetViews>
  <sheetFormatPr baseColWidth="8" defaultRowHeight="13.19999980926514"/>
  <cols>
    <col width="2" customWidth="1" style="160" min="1" max="1"/>
    <col width="30" customWidth="1" style="160" min="2" max="2"/>
    <col width="14" customWidth="1" style="160" min="3" max="3"/>
    <col width="13" customWidth="1" style="160" min="4" max="4"/>
    <col width="14" customWidth="1" style="160" min="5" max="5"/>
    <col width="11" customWidth="1" style="160" min="6" max="6"/>
    <col width="14" customWidth="1" style="160" min="7" max="7"/>
  </cols>
  <sheetData>
    <row r="1" ht="6" customHeight="1" s="160"/>
    <row r="2" ht="18" customHeight="1" s="160">
      <c r="B2" s="236" t="inlineStr">
        <is>
          <t>COST APPROACH — DEPRECIATION ANALYSIS</t>
        </is>
      </c>
      <c r="C2" s="162" t="n"/>
      <c r="D2" s="162" t="n"/>
      <c r="E2" s="162" t="n"/>
      <c r="F2" s="162" t="n"/>
      <c r="G2" s="163" t="n"/>
    </row>
    <row r="3" ht="15" customHeight="1" s="160">
      <c r="B3" s="239" t="n"/>
      <c r="C3" s="162" t="n"/>
      <c r="D3" s="162" t="n"/>
      <c r="E3" s="162" t="n"/>
      <c r="F3" s="162" t="n"/>
      <c r="G3" s="163" t="n"/>
    </row>
    <row r="4" ht="6" customHeight="1" s="160"/>
    <row r="5" ht="18" customHeight="1" s="160">
      <c r="B5" s="236" t="inlineStr">
        <is>
          <t>BUILDING REPRODUCTION COST (DIRECT COST)</t>
        </is>
      </c>
      <c r="C5" s="162" t="n"/>
      <c r="D5" s="162" t="n"/>
      <c r="E5" s="162" t="n"/>
      <c r="F5" s="162" t="n"/>
      <c r="G5" s="163" t="n"/>
    </row>
    <row r="6" ht="16.04999923706055" customHeight="1" s="160">
      <c r="B6" s="37" t="inlineStr">
        <is>
          <t>Item</t>
        </is>
      </c>
      <c r="C6" s="37" t="inlineStr">
        <is>
          <t>Value</t>
        </is>
      </c>
      <c r="D6" s="37" t="inlineStr">
        <is>
          <t>Units</t>
        </is>
      </c>
      <c r="E6" s="37" t="inlineStr">
        <is>
          <t>Notes</t>
        </is>
      </c>
      <c r="F6" s="37" t="n"/>
      <c r="G6" s="37" t="n"/>
    </row>
    <row r="7" ht="15" customHeight="1" s="160">
      <c r="B7" s="56" t="inlineStr">
        <is>
          <t>Base Cost/SF (Marshall &amp; Swift)</t>
        </is>
      </c>
      <c r="C7" s="65" t="n"/>
      <c r="D7" s="41" t="inlineStr">
        <is>
          <t>$/SF</t>
        </is>
      </c>
      <c r="E7" s="56" t="inlineStr">
        <is>
          <t>← Update per cost manual for current year</t>
        </is>
      </c>
      <c r="F7" s="56" t="n"/>
      <c r="G7" s="56" t="n"/>
    </row>
    <row r="8" ht="15" customHeight="1" s="160">
      <c r="B8" s="58" t="inlineStr">
        <is>
          <t>GBA (SF)</t>
        </is>
      </c>
      <c r="C8" s="65" t="n"/>
      <c r="D8" s="44" t="inlineStr">
        <is>
          <t>SF</t>
        </is>
      </c>
      <c r="E8" s="58" t="n"/>
      <c r="F8" s="58" t="n"/>
      <c r="G8" s="58" t="n"/>
    </row>
    <row r="9" ht="15" customHeight="1" s="160">
      <c r="B9" s="56" t="inlineStr">
        <is>
          <t>Area Size Adjustment</t>
        </is>
      </c>
      <c r="C9" s="65" t="n"/>
      <c r="D9" s="41" t="inlineStr">
        <is>
          <t>mult.</t>
        </is>
      </c>
      <c r="E9" s="56" t="inlineStr">
        <is>
          <t>Applied to base cost</t>
        </is>
      </c>
      <c r="F9" s="56" t="n"/>
      <c r="G9" s="56" t="n"/>
    </row>
    <row r="10" ht="15" customHeight="1" s="160">
      <c r="B10" s="58" t="inlineStr">
        <is>
          <t>Time/Local Conditions Adjustment</t>
        </is>
      </c>
      <c r="C10" s="65" t="n"/>
      <c r="D10" s="44" t="inlineStr">
        <is>
          <t>mult.</t>
        </is>
      </c>
      <c r="E10" s="58" t="inlineStr">
        <is>
          <t>Adjust to current/local market</t>
        </is>
      </c>
      <c r="F10" s="58" t="n"/>
      <c r="G10" s="58" t="n"/>
    </row>
    <row r="11" ht="15" customHeight="1" s="160">
      <c r="B11" s="69" t="inlineStr">
        <is>
          <t>Building Cost/SF (Adjusted)</t>
        </is>
      </c>
      <c r="C11" s="57">
        <f>B7*B9*B10</f>
        <v/>
      </c>
      <c r="D11" s="57" t="inlineStr">
        <is>
          <t>$/SF</t>
        </is>
      </c>
      <c r="E11" s="56">
        <f>B7*B9*B10</f>
        <v/>
      </c>
      <c r="F11" s="56" t="n"/>
      <c r="G11" s="56" t="n"/>
    </row>
    <row r="12" ht="15" customHeight="1" s="160">
      <c r="B12" s="70" t="inlineStr">
        <is>
          <t>Total Reproduction Cost (Direct)</t>
        </is>
      </c>
      <c r="C12" s="59">
        <f>B8*B11</f>
        <v/>
      </c>
      <c r="D12" s="59" t="inlineStr">
        <is>
          <t>$</t>
        </is>
      </c>
      <c r="E12" s="58">
        <f>B7*B8 * all adjustments</f>
        <v/>
      </c>
      <c r="F12" s="58" t="n"/>
      <c r="G12" s="58" t="n"/>
    </row>
    <row r="13" ht="6" customHeight="1" s="160"/>
    <row r="14" ht="18" customHeight="1" s="160">
      <c r="B14" s="236" t="inlineStr">
        <is>
          <t>PHYSICAL DETERIORATION — SHORT-LIVED ITEMS</t>
        </is>
      </c>
      <c r="C14" s="162" t="n"/>
      <c r="D14" s="162" t="n"/>
      <c r="E14" s="162" t="n"/>
      <c r="F14" s="162" t="n"/>
      <c r="G14" s="163" t="n"/>
    </row>
    <row r="15" ht="16.04999923706055" customHeight="1" s="160">
      <c r="B15" s="37" t="inlineStr">
        <is>
          <t>Component</t>
        </is>
      </c>
      <c r="C15" s="37" t="inlineStr">
        <is>
          <t>Cost New</t>
        </is>
      </c>
      <c r="D15" s="37" t="inlineStr">
        <is>
          <t>Eff. Age (Yrs)</t>
        </is>
      </c>
      <c r="E15" s="37" t="inlineStr">
        <is>
          <t>Typical Life (Yrs)</t>
        </is>
      </c>
      <c r="F15" s="37" t="inlineStr">
        <is>
          <t>% Depr.</t>
        </is>
      </c>
      <c r="G15" s="37" t="inlineStr">
        <is>
          <t>Value of Depr.</t>
        </is>
      </c>
    </row>
    <row r="16" ht="15" customHeight="1" s="160">
      <c r="B16" s="56" t="inlineStr">
        <is>
          <t>HVAC</t>
        </is>
      </c>
      <c r="C16" s="65" t="n"/>
      <c r="D16" s="65" t="n"/>
      <c r="E16" s="65" t="n"/>
      <c r="F16" s="57">
        <f>D16/E16</f>
        <v/>
      </c>
      <c r="G16" s="57">
        <f>C16*F16</f>
        <v/>
      </c>
    </row>
    <row r="17" ht="15" customHeight="1" s="160">
      <c r="B17" s="58" t="inlineStr">
        <is>
          <t>Floor Cover</t>
        </is>
      </c>
      <c r="C17" s="65" t="n"/>
      <c r="D17" s="65" t="n"/>
      <c r="E17" s="65" t="n"/>
      <c r="F17" s="59">
        <f>D17/E17</f>
        <v/>
      </c>
      <c r="G17" s="59">
        <f>C17*F17</f>
        <v/>
      </c>
    </row>
    <row r="18" ht="15" customHeight="1" s="160">
      <c r="B18" s="56" t="inlineStr">
        <is>
          <t>Roof Cover</t>
        </is>
      </c>
      <c r="C18" s="65" t="n"/>
      <c r="D18" s="65" t="n"/>
      <c r="E18" s="65" t="n"/>
      <c r="F18" s="57">
        <f>D18/E18</f>
        <v/>
      </c>
      <c r="G18" s="57">
        <f>C18*F18</f>
        <v/>
      </c>
    </row>
    <row r="19" ht="15" customHeight="1" s="160">
      <c r="B19" s="58" t="inlineStr">
        <is>
          <t>Interior Fin.</t>
        </is>
      </c>
      <c r="C19" s="65" t="n"/>
      <c r="D19" s="65" t="n"/>
      <c r="E19" s="65" t="n"/>
      <c r="F19" s="59">
        <f>D19/E19</f>
        <v/>
      </c>
      <c r="G19" s="59">
        <f>C19*F19</f>
        <v/>
      </c>
    </row>
    <row r="20" ht="16.04999923706055" customHeight="1" s="160">
      <c r="B20" s="60" t="inlineStr">
        <is>
          <t>TOTAL SHORT-LIVED ITEMS</t>
        </is>
      </c>
      <c r="C20" s="61">
        <f>SUM(C16:C19)</f>
        <v/>
      </c>
      <c r="D20" s="61" t="n"/>
      <c r="E20" s="61" t="n"/>
      <c r="F20" s="61" t="n"/>
      <c r="G20" s="61">
        <f>SUM(G16:G19)</f>
        <v/>
      </c>
    </row>
    <row r="21" ht="6" customHeight="1" s="160"/>
    <row r="22" ht="18" customHeight="1" s="160">
      <c r="B22" s="236" t="inlineStr">
        <is>
          <t>SITE IMPROVEMENTS (DEPRECIATED SEPARATELY)</t>
        </is>
      </c>
      <c r="C22" s="162" t="n"/>
      <c r="D22" s="162" t="n"/>
      <c r="E22" s="162" t="n"/>
      <c r="F22" s="162" t="n"/>
      <c r="G22" s="163" t="n"/>
    </row>
    <row r="23" ht="16.04999923706055" customHeight="1" s="160">
      <c r="B23" s="37" t="inlineStr">
        <is>
          <t>Component</t>
        </is>
      </c>
      <c r="C23" s="37" t="inlineStr">
        <is>
          <t>Cost New</t>
        </is>
      </c>
      <c r="D23" s="37" t="inlineStr">
        <is>
          <t>Eff. Age (Yrs)</t>
        </is>
      </c>
      <c r="E23" s="37" t="inlineStr">
        <is>
          <t>Typical Life (Yrs)</t>
        </is>
      </c>
      <c r="F23" s="37" t="inlineStr">
        <is>
          <t>% Depr.</t>
        </is>
      </c>
      <c r="G23" s="37" t="inlineStr">
        <is>
          <t>Value of Depr.</t>
        </is>
      </c>
    </row>
    <row r="24" ht="15" customHeight="1" s="160">
      <c r="B24" s="56" t="inlineStr">
        <is>
          <t>Landscaping / Retaining Wall</t>
        </is>
      </c>
      <c r="C24" s="65" t="n"/>
      <c r="D24" s="65" t="n"/>
      <c r="E24" s="65" t="n"/>
      <c r="F24" s="57">
        <f>D24/E24</f>
        <v/>
      </c>
      <c r="G24" s="57">
        <f>C24*F24</f>
        <v/>
      </c>
    </row>
    <row r="25" ht="15" customHeight="1" s="160">
      <c r="B25" s="58" t="inlineStr">
        <is>
          <t>Signage / Lighting</t>
        </is>
      </c>
      <c r="C25" s="65" t="n"/>
      <c r="D25" s="65" t="n"/>
      <c r="E25" s="65" t="n"/>
      <c r="F25" s="59">
        <f>D25/E25</f>
        <v/>
      </c>
      <c r="G25" s="59">
        <f>C25*F25</f>
        <v/>
      </c>
    </row>
    <row r="26" ht="15" customHeight="1" s="160">
      <c r="B26" s="56" t="inlineStr">
        <is>
          <t>Paving / Curbing</t>
        </is>
      </c>
      <c r="C26" s="65" t="n"/>
      <c r="D26" s="65" t="n"/>
      <c r="E26" s="65" t="n"/>
      <c r="F26" s="57">
        <f>D26/E26</f>
        <v/>
      </c>
      <c r="G26" s="57">
        <f>C26*F26</f>
        <v/>
      </c>
    </row>
    <row r="27" ht="15" customHeight="1" s="160">
      <c r="B27" s="58" t="inlineStr">
        <is>
          <t>Site Work / Utilities</t>
        </is>
      </c>
      <c r="C27" s="65" t="n"/>
      <c r="D27" s="65" t="n"/>
      <c r="E27" s="65" t="n"/>
      <c r="F27" s="59">
        <f>D27/E27</f>
        <v/>
      </c>
      <c r="G27" s="59">
        <f>C27*F27</f>
        <v/>
      </c>
    </row>
    <row r="28" ht="16.04999923706055" customHeight="1" s="160">
      <c r="B28" s="60" t="inlineStr">
        <is>
          <t>TOTAL SITE IMPROVEMENTS</t>
        </is>
      </c>
      <c r="C28" s="61">
        <f>SUM(C24:C27)</f>
        <v/>
      </c>
      <c r="D28" s="61" t="n"/>
      <c r="E28" s="61" t="n"/>
      <c r="F28" s="61" t="n"/>
      <c r="G28" s="61">
        <f>SUM(G24:G27)</f>
        <v/>
      </c>
    </row>
    <row r="29" ht="6" customHeight="1" s="160"/>
    <row r="30" ht="18" customHeight="1" s="160">
      <c r="B30" s="236" t="inlineStr">
        <is>
          <t>PHYSICAL DETERIORATION — LONG-LIVED ITEMS (AGE-LIFE METHOD)</t>
        </is>
      </c>
      <c r="C30" s="162" t="n"/>
      <c r="D30" s="162" t="n"/>
      <c r="E30" s="162" t="n"/>
      <c r="F30" s="162" t="n"/>
      <c r="G30" s="163" t="n"/>
    </row>
    <row r="31" ht="16.04999923706055" customHeight="1" s="160">
      <c r="B31" s="37" t="inlineStr">
        <is>
          <t>Item</t>
        </is>
      </c>
      <c r="C31" s="37" t="inlineStr">
        <is>
          <t>Value</t>
        </is>
      </c>
      <c r="D31" s="37" t="n"/>
      <c r="E31" s="37" t="n"/>
      <c r="F31" s="37" t="n"/>
      <c r="G31" s="37" t="n"/>
    </row>
    <row r="32" ht="15" customHeight="1" s="160">
      <c r="B32" s="56" t="inlineStr">
        <is>
          <t>Total Reproduction Cost (Direct)</t>
        </is>
      </c>
      <c r="C32" s="57">
        <f>cost!C12</f>
        <v/>
      </c>
      <c r="D32" s="56" t="n"/>
      <c r="E32" s="56" t="n"/>
      <c r="F32" s="56" t="n"/>
      <c r="G32" s="56" t="n"/>
    </row>
    <row r="33" ht="15" customHeight="1" s="160">
      <c r="B33" s="58" t="inlineStr">
        <is>
          <t>Less: Short-Lived Items (Cost New)</t>
        </is>
      </c>
      <c r="C33" s="59">
        <f>C20</f>
        <v/>
      </c>
      <c r="D33" s="58" t="n"/>
      <c r="E33" s="58" t="n"/>
      <c r="F33" s="58" t="n"/>
      <c r="G33" s="58" t="n"/>
    </row>
    <row r="34" ht="15" customHeight="1" s="160">
      <c r="B34" s="56" t="inlineStr">
        <is>
          <t>Long-Lived Items Cost</t>
        </is>
      </c>
      <c r="C34" s="57">
        <f>C32-C33</f>
        <v/>
      </c>
      <c r="D34" s="56" t="n"/>
      <c r="E34" s="56" t="n"/>
      <c r="F34" s="56" t="n"/>
      <c r="G34" s="56" t="n"/>
    </row>
    <row r="35" ht="15" customHeight="1" s="160">
      <c r="B35" s="58" t="inlineStr">
        <is>
          <t>Effective Age (years)</t>
        </is>
      </c>
      <c r="C35" s="65" t="inlineStr">
        <is>
          <t>← Appraiser judgment</t>
        </is>
      </c>
      <c r="D35" s="58" t="n"/>
      <c r="E35" s="58" t="n"/>
      <c r="F35" s="58" t="n"/>
      <c r="G35" s="58" t="n"/>
    </row>
    <row r="36" ht="15" customHeight="1" s="160">
      <c r="B36" s="56" t="inlineStr">
        <is>
          <t>Total Economic Life (years)</t>
        </is>
      </c>
      <c r="C36" s="65" t="n"/>
      <c r="D36" s="56" t="n"/>
      <c r="E36" s="56" t="n"/>
      <c r="F36" s="56" t="n"/>
      <c r="G36" s="56" t="n"/>
    </row>
    <row r="37" ht="15" customHeight="1" s="160">
      <c r="B37" s="58" t="inlineStr">
        <is>
          <t>Depreciation Rate (EA / EL)</t>
        </is>
      </c>
      <c r="C37" s="59">
        <f>C35/C36</f>
        <v/>
      </c>
      <c r="D37" s="58" t="n"/>
      <c r="E37" s="58" t="n"/>
      <c r="F37" s="58" t="n"/>
      <c r="G37" s="58" t="n"/>
    </row>
    <row r="38" ht="15" customHeight="1" s="160">
      <c r="B38" s="56" t="inlineStr">
        <is>
          <t>Long-Lived Depreciation</t>
        </is>
      </c>
      <c r="C38" s="57">
        <f>C34*C37</f>
        <v/>
      </c>
      <c r="D38" s="56" t="n"/>
      <c r="E38" s="56" t="n"/>
      <c r="F38" s="56" t="n"/>
      <c r="G38" s="56" t="n"/>
    </row>
    <row r="39" ht="6" customHeight="1" s="160"/>
    <row r="40" ht="18" customHeight="1" s="160">
      <c r="B40" s="236" t="inlineStr">
        <is>
          <t>COST APPROACH — VALUE SUMMARY</t>
        </is>
      </c>
      <c r="C40" s="162" t="n"/>
      <c r="D40" s="162" t="n"/>
      <c r="E40" s="162" t="n"/>
      <c r="F40" s="162" t="n"/>
      <c r="G40" s="163" t="n"/>
    </row>
    <row r="41" ht="13.94999980926514" customHeight="1" s="160">
      <c r="B41" s="234" t="inlineStr">
        <is>
          <t>Values reference cost_approach and land_sales tabs. Change inputs there.</t>
        </is>
      </c>
      <c r="C41" s="162" t="n"/>
      <c r="D41" s="162" t="n"/>
      <c r="E41" s="162" t="n"/>
      <c r="F41" s="162" t="n"/>
      <c r="G41" s="163" t="n"/>
    </row>
    <row r="42" ht="6" customHeight="1" s="160"/>
    <row r="43" ht="16.04999923706055" customHeight="1" s="160">
      <c r="B43" s="37" t="inlineStr">
        <is>
          <t>Item</t>
        </is>
      </c>
      <c r="C43" s="37" t="inlineStr">
        <is>
          <t>Amount</t>
        </is>
      </c>
      <c r="D43" s="37" t="n"/>
      <c r="E43" s="37" t="n"/>
      <c r="F43" s="37" t="n"/>
      <c r="G43" s="37" t="n"/>
    </row>
    <row r="44" ht="15" customHeight="1" s="160">
      <c r="B44" s="62" t="inlineStr">
        <is>
          <t>LAND VALUE</t>
        </is>
      </c>
      <c r="C44" s="62" t="n"/>
      <c r="D44" s="62" t="n"/>
      <c r="E44" s="62" t="n"/>
      <c r="F44" s="62" t="n"/>
      <c r="G44" s="62" t="n"/>
    </row>
    <row r="45" ht="15" customHeight="1" s="160">
      <c r="B45" s="58" t="inlineStr">
        <is>
          <t>Concluded Land Value (from land_sales tab)</t>
        </is>
      </c>
      <c r="C45" s="59">
        <f>land!D26</f>
        <v/>
      </c>
      <c r="D45" s="58" t="n"/>
      <c r="E45" s="58" t="n"/>
      <c r="F45" s="58" t="n"/>
      <c r="G45" s="58" t="n"/>
    </row>
    <row r="46" ht="15" customHeight="1" s="160">
      <c r="B46" s="56" t="n"/>
      <c r="C46" s="57" t="n"/>
      <c r="D46" s="56" t="n"/>
      <c r="E46" s="56" t="n"/>
      <c r="F46" s="56" t="n"/>
      <c r="G46" s="56" t="n"/>
    </row>
    <row r="47" ht="15" customHeight="1" s="160">
      <c r="B47" s="62" t="inlineStr">
        <is>
          <t>IMPROVEMENTS — REPRODUCTION COST</t>
        </is>
      </c>
      <c r="C47" s="62" t="n"/>
      <c r="D47" s="62" t="n"/>
      <c r="E47" s="62" t="n"/>
      <c r="F47" s="62" t="n"/>
      <c r="G47" s="62" t="n"/>
    </row>
    <row r="48" ht="15" customHeight="1" s="160">
      <c r="B48" s="56" t="inlineStr">
        <is>
          <t>Total Reproduction Cost (Direct)</t>
        </is>
      </c>
      <c r="C48" s="57">
        <f>cost!C12</f>
        <v/>
      </c>
      <c r="D48" s="56" t="n"/>
      <c r="E48" s="56" t="n"/>
      <c r="F48" s="56" t="n"/>
      <c r="G48" s="56" t="n"/>
    </row>
    <row r="49" ht="15" customHeight="1" s="160">
      <c r="B49" s="62" t="inlineStr">
        <is>
          <t>LESS: DEPRECIATION</t>
        </is>
      </c>
      <c r="C49" s="62" t="n"/>
      <c r="D49" s="62" t="n"/>
      <c r="E49" s="62" t="n"/>
      <c r="F49" s="62" t="n"/>
      <c r="G49" s="62" t="n"/>
    </row>
    <row r="50" ht="15" customHeight="1" s="160">
      <c r="B50" s="56" t="inlineStr">
        <is>
          <t xml:space="preserve">      Physical — Curable (Deferred Maintenance)</t>
        </is>
      </c>
      <c r="C50" s="57" t="n"/>
      <c r="D50" s="56" t="n"/>
      <c r="E50" s="56" t="n"/>
      <c r="F50" s="56" t="n"/>
      <c r="G50" s="56" t="n"/>
    </row>
    <row r="51" ht="15" customHeight="1" s="160">
      <c r="B51" s="58" t="inlineStr">
        <is>
          <t xml:space="preserve">      Physical — Incurable (Short-Lived Items)</t>
        </is>
      </c>
      <c r="C51" s="59">
        <f>cost!G20</f>
        <v/>
      </c>
      <c r="D51" s="58" t="n"/>
      <c r="E51" s="58" t="n"/>
      <c r="F51" s="58" t="n"/>
      <c r="G51" s="58" t="n"/>
    </row>
    <row r="52" ht="15" customHeight="1" s="160">
      <c r="B52" s="56" t="inlineStr">
        <is>
          <t xml:space="preserve">      Physical — Incurable (Long-Lived Items)</t>
        </is>
      </c>
      <c r="C52" s="57">
        <f>cost!C38</f>
        <v/>
      </c>
      <c r="D52" s="56" t="n"/>
      <c r="E52" s="56" t="n"/>
      <c r="F52" s="56" t="n"/>
      <c r="G52" s="56" t="n"/>
    </row>
    <row r="53" ht="15" customHeight="1" s="160">
      <c r="B53" s="58" t="inlineStr">
        <is>
          <t xml:space="preserve">      Functional Obsolescence</t>
        </is>
      </c>
      <c r="C53" s="59" t="n"/>
      <c r="D53" s="58" t="n"/>
      <c r="E53" s="58" t="n"/>
      <c r="F53" s="58" t="n"/>
      <c r="G53" s="58" t="n"/>
    </row>
    <row r="54" ht="15" customHeight="1" s="160">
      <c r="B54" s="56" t="inlineStr">
        <is>
          <t xml:space="preserve">      External Obsolescence</t>
        </is>
      </c>
      <c r="C54" s="57" t="n"/>
      <c r="D54" s="56" t="n"/>
      <c r="E54" s="56" t="n"/>
      <c r="F54" s="56" t="n"/>
      <c r="G54" s="56" t="n"/>
    </row>
    <row r="55" ht="16.04999923706055" customHeight="1" s="160">
      <c r="B55" s="60" t="inlineStr">
        <is>
          <t>Total Depreciation</t>
        </is>
      </c>
      <c r="C55" s="61">
        <f>SUM(C50:C54)</f>
        <v/>
      </c>
      <c r="D55" s="61" t="n"/>
      <c r="E55" s="61" t="n"/>
      <c r="F55" s="61" t="n"/>
      <c r="G55" s="61" t="n"/>
    </row>
    <row r="56" ht="15" customHeight="1" s="160">
      <c r="B56" s="56" t="inlineStr">
        <is>
          <t>Depreciated Building Cost</t>
        </is>
      </c>
      <c r="C56" s="57">
        <f>C48-C55</f>
        <v/>
      </c>
      <c r="D56" s="56" t="n"/>
      <c r="E56" s="56" t="n"/>
      <c r="F56" s="56" t="n"/>
      <c r="G56" s="56" t="n"/>
    </row>
    <row r="57" ht="6" customHeight="1" s="160"/>
    <row r="58" ht="15" customHeight="1" s="160">
      <c r="B58" s="62" t="inlineStr">
        <is>
          <t>SITE IMPROVEMENTS</t>
        </is>
      </c>
      <c r="C58" s="62" t="n"/>
      <c r="D58" s="62" t="n"/>
      <c r="E58" s="62" t="n"/>
      <c r="F58" s="62" t="n"/>
      <c r="G58" s="62" t="n"/>
    </row>
    <row r="59" ht="15" customHeight="1" s="160">
      <c r="B59" s="58" t="inlineStr">
        <is>
          <t>Site Improvements (Cost New)</t>
        </is>
      </c>
      <c r="C59" s="59">
        <f>cost!C28</f>
        <v/>
      </c>
      <c r="D59" s="58" t="n"/>
      <c r="E59" s="58" t="n"/>
      <c r="F59" s="58" t="n"/>
      <c r="G59" s="58" t="n"/>
    </row>
    <row r="60" ht="15" customHeight="1" s="160">
      <c r="B60" s="56" t="inlineStr">
        <is>
          <t>Less: Depreciation of Site Improvements</t>
        </is>
      </c>
      <c r="C60" s="57">
        <f>cost!G28</f>
        <v/>
      </c>
      <c r="D60" s="56" t="n"/>
      <c r="E60" s="56" t="n"/>
      <c r="F60" s="56" t="n"/>
      <c r="G60" s="56" t="n"/>
    </row>
    <row r="61" ht="16.04999923706055" customHeight="1" s="160">
      <c r="B61" s="60" t="inlineStr">
        <is>
          <t>Depreciated Site Improvements</t>
        </is>
      </c>
      <c r="C61" s="61">
        <f>C59-C60</f>
        <v/>
      </c>
      <c r="D61" s="61" t="n"/>
      <c r="E61" s="61" t="n"/>
      <c r="F61" s="61" t="n"/>
      <c r="G61" s="61" t="n"/>
    </row>
    <row r="62" ht="6" customHeight="1" s="160"/>
    <row r="63" ht="15" customHeight="1" s="160">
      <c r="B63" s="62" t="inlineStr">
        <is>
          <t>INDICATED VALUE VIA COST APPROACH</t>
        </is>
      </c>
      <c r="C63" s="62" t="n"/>
      <c r="D63" s="62" t="n"/>
      <c r="E63" s="62" t="n"/>
      <c r="F63" s="62" t="n"/>
      <c r="G63" s="62" t="n"/>
    </row>
    <row r="64" ht="15" customHeight="1" s="160">
      <c r="B64" s="56" t="inlineStr">
        <is>
          <t>Land Value</t>
        </is>
      </c>
      <c r="C64" s="57">
        <f>C45</f>
        <v/>
      </c>
      <c r="D64" s="56" t="n"/>
      <c r="E64" s="56" t="n"/>
      <c r="F64" s="56" t="n"/>
      <c r="G64" s="56" t="n"/>
    </row>
    <row r="65" ht="15" customHeight="1" s="160">
      <c r="B65" s="58" t="inlineStr">
        <is>
          <t>Depreciated Building Cost</t>
        </is>
      </c>
      <c r="C65" s="59">
        <f>C56</f>
        <v/>
      </c>
      <c r="D65" s="58" t="n"/>
      <c r="E65" s="58" t="n"/>
      <c r="F65" s="58" t="n"/>
      <c r="G65" s="58" t="n"/>
    </row>
    <row r="66" ht="15" customHeight="1" s="160">
      <c r="B66" s="56" t="inlineStr">
        <is>
          <t>Depreciated Site Improvements</t>
        </is>
      </c>
      <c r="C66" s="57">
        <f>C61</f>
        <v/>
      </c>
      <c r="D66" s="56" t="n"/>
      <c r="E66" s="56" t="n"/>
      <c r="F66" s="56" t="n"/>
      <c r="G66" s="56" t="n"/>
    </row>
    <row r="67" ht="15" customHeight="1" s="160">
      <c r="B67" s="58" t="inlineStr">
        <is>
          <t>Total Indicated Value</t>
        </is>
      </c>
      <c r="C67" s="59">
        <f>C64+C65+C66</f>
        <v/>
      </c>
      <c r="D67" s="58" t="n"/>
      <c r="E67" s="58" t="n"/>
      <c r="F67" s="58" t="n"/>
      <c r="G67" s="58" t="n"/>
    </row>
    <row r="68" ht="18" customHeight="1" s="160">
      <c r="B68" s="71" t="inlineStr">
        <is>
          <t>Rounded Value Indication (Cost Approach)</t>
        </is>
      </c>
      <c r="C68" s="72">
        <f>ROUND(C67/25000,0)*25000</f>
        <v/>
      </c>
      <c r="D68" s="73" t="n"/>
      <c r="E68" s="73" t="n"/>
      <c r="F68" s="73" t="n"/>
      <c r="G68" s="73" t="n"/>
    </row>
    <row r="69" ht="16.04999923706055" customHeight="1" s="160">
      <c r="B69" s="60" t="n"/>
      <c r="C69" s="61" t="n"/>
      <c r="D69" s="61" t="n"/>
      <c r="E69" s="61" t="n"/>
      <c r="F69" s="61" t="n"/>
      <c r="G69" s="61" t="n"/>
    </row>
    <row r="71" ht="13.94999980926514" customHeight="1" s="160">
      <c r="B71" s="238" t="n"/>
      <c r="C71" s="162" t="n"/>
      <c r="D71" s="162" t="n"/>
      <c r="E71" s="162" t="n"/>
      <c r="F71" s="162" t="n"/>
      <c r="G71" s="163" t="n"/>
    </row>
  </sheetData>
  <mergeCells count="9">
    <mergeCell ref="B3:G3"/>
    <mergeCell ref="B2:G2"/>
    <mergeCell ref="B5:G5"/>
    <mergeCell ref="B14:G14"/>
    <mergeCell ref="B22:G22"/>
    <mergeCell ref="B41:G41"/>
    <mergeCell ref="B71:G71"/>
    <mergeCell ref="B40:G40"/>
    <mergeCell ref="B30:G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11"/>
  <sheetViews>
    <sheetView showGridLines="0" workbookViewId="0">
      <selection activeCell="A1" sqref="A1"/>
    </sheetView>
  </sheetViews>
  <sheetFormatPr baseColWidth="8" defaultRowHeight="13.19999980926514"/>
  <cols>
    <col width="2" customWidth="1" style="160" min="1" max="1"/>
    <col width="10" customWidth="1" style="160" min="2" max="2"/>
    <col width="12" customWidth="1" style="160" min="3" max="4"/>
    <col width="14" customWidth="1" style="160" min="5" max="5"/>
    <col width="18.5546875" customWidth="1" style="160" min="6" max="6"/>
    <col width="14" customWidth="1" style="160" min="7" max="7"/>
    <col width="19.109375" customWidth="1" style="160" min="8" max="8"/>
    <col width="14" customWidth="1" style="160" min="9" max="9"/>
  </cols>
  <sheetData>
    <row r="1" ht="6" customHeight="1" s="160"/>
    <row r="2" ht="18" customHeight="1" s="160">
      <c r="B2" s="236" t="inlineStr">
        <is>
          <t>NOI ADJUSTMENT — COMPARABLE SALES</t>
        </is>
      </c>
      <c r="C2" s="162" t="n"/>
      <c r="D2" s="162" t="n"/>
      <c r="E2" s="162" t="n"/>
      <c r="F2" s="162" t="n"/>
      <c r="G2" s="162" t="n"/>
      <c r="H2" s="162" t="n"/>
      <c r="I2" s="163" t="n"/>
    </row>
    <row r="3" ht="16.04999923706055" customHeight="1" s="160">
      <c r="B3" s="37" t="inlineStr">
        <is>
          <t>Sale No.</t>
        </is>
      </c>
      <c r="C3" s="37" t="inlineStr">
        <is>
          <t>GBA (SF)</t>
        </is>
      </c>
      <c r="D3" s="37" t="inlineStr">
        <is>
          <t>Sale ($/SF)</t>
        </is>
      </c>
      <c r="E3" s="37" t="inlineStr">
        <is>
          <t>NOI/SF (Comp)</t>
        </is>
      </c>
      <c r="F3" s="37" t="inlineStr">
        <is>
          <t>NOI/SF (Subject)</t>
        </is>
      </c>
      <c r="G3" s="37" t="inlineStr">
        <is>
          <t>NOI Adj. Factor</t>
        </is>
      </c>
      <c r="H3" s="37" t="inlineStr">
        <is>
          <t>Adj. Indicated ($/SF)</t>
        </is>
      </c>
      <c r="I3" s="37" t="n"/>
    </row>
    <row r="4" ht="15" customHeight="1" s="160">
      <c r="B4" s="56" t="n">
        <v>1</v>
      </c>
      <c r="C4" s="74" t="n"/>
      <c r="D4" s="75" t="n"/>
      <c r="E4" s="75" t="n"/>
      <c r="F4" s="75" t="n"/>
      <c r="G4" s="76" t="n"/>
      <c r="H4" s="75" t="n"/>
      <c r="I4" s="57" t="n"/>
    </row>
    <row r="5" ht="15" customHeight="1" s="160">
      <c r="B5" s="58" t="n">
        <v>2</v>
      </c>
      <c r="C5" s="77" t="n"/>
      <c r="D5" s="78" t="n"/>
      <c r="E5" s="78" t="n"/>
      <c r="F5" s="78" t="n"/>
      <c r="G5" s="79" t="n"/>
      <c r="H5" s="78" t="n"/>
      <c r="I5" s="59" t="n"/>
    </row>
    <row r="6" ht="15" customHeight="1" s="160">
      <c r="B6" s="56" t="n">
        <v>3</v>
      </c>
      <c r="C6" s="74" t="n"/>
      <c r="D6" s="75" t="n"/>
      <c r="E6" s="57" t="n"/>
      <c r="F6" s="75" t="n"/>
      <c r="G6" s="57" t="n"/>
      <c r="H6" s="57" t="n"/>
      <c r="I6" s="57" t="n"/>
    </row>
    <row r="7" ht="15" customHeight="1" s="160">
      <c r="B7" s="58" t="n">
        <v>4</v>
      </c>
      <c r="C7" s="77" t="n"/>
      <c r="D7" s="78" t="n"/>
      <c r="E7" s="78" t="n"/>
      <c r="F7" s="78" t="n"/>
      <c r="G7" s="79" t="n"/>
      <c r="H7" s="78" t="n"/>
      <c r="I7" s="59" t="n"/>
    </row>
    <row r="8" ht="15" customHeight="1" s="160">
      <c r="B8" s="56" t="n">
        <v>5</v>
      </c>
      <c r="C8" s="74" t="n"/>
      <c r="D8" s="75" t="n"/>
      <c r="E8" s="75" t="n"/>
      <c r="F8" s="75" t="n"/>
      <c r="G8" s="76" t="n"/>
      <c r="H8" s="75" t="n"/>
      <c r="I8" s="57" t="n"/>
    </row>
    <row r="9" ht="15" customHeight="1" s="160">
      <c r="B9" s="58" t="n">
        <v>6</v>
      </c>
      <c r="C9" s="77" t="n"/>
      <c r="D9" s="78" t="n"/>
      <c r="E9" s="59" t="n"/>
      <c r="F9" s="78" t="n"/>
      <c r="G9" s="59" t="n"/>
      <c r="H9" s="59" t="n"/>
      <c r="I9" s="59" t="n"/>
    </row>
    <row r="10" ht="6" customHeight="1" s="160"/>
    <row r="11" ht="13.94999980926514" customHeight="1" s="160">
      <c r="B11" s="238" t="inlineStr">
        <is>
          <t>Note: N/A = comp lacks reliable income data.</t>
        </is>
      </c>
      <c r="C11" s="162" t="n"/>
      <c r="D11" s="162" t="n"/>
      <c r="E11" s="162" t="n"/>
      <c r="F11" s="162" t="n"/>
      <c r="G11" s="162" t="n"/>
      <c r="H11" s="162" t="n"/>
      <c r="I11" s="163" t="n"/>
    </row>
  </sheetData>
  <mergeCells count="2">
    <mergeCell ref="B11:I11"/>
    <mergeCell ref="B2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8"/>
  <sheetViews>
    <sheetView showGridLines="0" workbookViewId="0">
      <selection activeCell="A1" sqref="A1"/>
    </sheetView>
  </sheetViews>
  <sheetFormatPr baseColWidth="8" defaultColWidth="14" defaultRowHeight="13.80000019073486"/>
  <cols>
    <col width="2" customWidth="1" style="9" min="1" max="1"/>
    <col width="14.44140625" customWidth="1" style="160" min="2" max="2"/>
    <col width="12" customWidth="1" style="9" min="3" max="3"/>
    <col width="14" customWidth="1" style="9" min="4" max="4"/>
    <col width="15.88671875" customWidth="1" style="9" min="5" max="5"/>
    <col width="14" customWidth="1" style="9" min="6" max="7"/>
    <col width="14" customWidth="1" style="160" min="8" max="8"/>
    <col width="14" customWidth="1" style="9" min="9" max="9"/>
    <col width="14" customWidth="1" style="9" min="10" max="16384"/>
  </cols>
  <sheetData>
    <row r="1" ht="6" customHeight="1" s="160"/>
    <row r="2" ht="18" customHeight="1" s="160">
      <c r="B2" s="240" t="inlineStr">
        <is>
          <t>Comparable Sales (Implied Cap Rates)</t>
        </is>
      </c>
      <c r="C2" s="162" t="n"/>
      <c r="D2" s="162" t="n"/>
      <c r="E2" s="162" t="n"/>
      <c r="F2" s="162" t="n"/>
      <c r="G2" s="162" t="n"/>
      <c r="H2" s="163" t="n"/>
    </row>
    <row r="3" ht="16.04999923706055" customHeight="1" s="160">
      <c r="B3" s="37" t="inlineStr">
        <is>
          <t>Sale</t>
        </is>
      </c>
      <c r="C3" s="80" t="inlineStr">
        <is>
          <t>Sale Date</t>
        </is>
      </c>
      <c r="D3" s="37" t="inlineStr">
        <is>
          <t>Sale Price</t>
        </is>
      </c>
      <c r="E3" s="37" t="inlineStr">
        <is>
          <t>NOI</t>
        </is>
      </c>
      <c r="F3" s="37" t="inlineStr">
        <is>
          <t>Implied Rate</t>
        </is>
      </c>
      <c r="G3" s="37" t="n"/>
      <c r="H3" s="37" t="n"/>
    </row>
    <row r="4" ht="15" customHeight="1" s="160">
      <c r="B4" s="56" t="n"/>
      <c r="C4" s="81" t="n"/>
      <c r="D4" s="82" t="n"/>
      <c r="E4" s="82">
        <f>F4*D4</f>
        <v/>
      </c>
      <c r="F4" s="83" t="n"/>
      <c r="G4" s="57" t="n"/>
      <c r="H4" s="57" t="n"/>
    </row>
    <row r="5" ht="15" customHeight="1" s="160">
      <c r="B5" s="58" t="n"/>
      <c r="C5" s="84" t="n"/>
      <c r="D5" s="85" t="n"/>
      <c r="E5" s="85">
        <f>F5*D5</f>
        <v/>
      </c>
      <c r="F5" s="86" t="n"/>
      <c r="G5" s="59" t="n"/>
      <c r="H5" s="86" t="n"/>
    </row>
    <row r="6" ht="15" customHeight="1" s="160">
      <c r="B6" s="56" t="n"/>
      <c r="C6" s="81" t="n"/>
      <c r="D6" s="82" t="n"/>
      <c r="E6" s="82">
        <f>F6*D6</f>
        <v/>
      </c>
      <c r="F6" s="83" t="n"/>
      <c r="G6" s="57" t="n"/>
      <c r="H6" s="83" t="n"/>
    </row>
    <row r="7" ht="15" customHeight="1" s="160">
      <c r="B7" s="58" t="n"/>
      <c r="C7" s="58" t="n"/>
      <c r="D7" s="85" t="n"/>
      <c r="E7" s="85">
        <f>F7*D7</f>
        <v/>
      </c>
      <c r="F7" s="86" t="n"/>
      <c r="G7" s="59" t="n"/>
      <c r="H7" s="59" t="n"/>
    </row>
    <row r="8" ht="16.04999923706055" customHeight="1" s="160">
      <c r="B8" s="60" t="inlineStr">
        <is>
          <t>Indicated:</t>
        </is>
      </c>
      <c r="C8" s="61" t="n"/>
      <c r="D8" s="61" t="n"/>
      <c r="E8" s="61" t="n"/>
      <c r="F8" s="87" t="n"/>
      <c r="G8" s="61" t="n"/>
      <c r="H8" s="61" t="n"/>
    </row>
    <row r="9" ht="16.20000076293945" customHeight="1" s="160"/>
  </sheetData>
  <mergeCells count="1">
    <mergeCell ref="B2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I19"/>
  <sheetViews>
    <sheetView showGridLines="0" workbookViewId="0">
      <selection activeCell="A1" sqref="A1"/>
    </sheetView>
  </sheetViews>
  <sheetFormatPr baseColWidth="8" defaultRowHeight="13.19999980926514"/>
  <cols>
    <col width="2" customWidth="1" style="160" min="1" max="1"/>
    <col width="8" customWidth="1" style="160" min="2" max="2"/>
    <col width="28" customWidth="1" style="160" min="3" max="3"/>
    <col width="14" customWidth="1" style="160" min="4" max="4"/>
    <col width="12" customWidth="1" style="160" min="5" max="5"/>
    <col width="14" customWidth="1" style="160" min="6" max="6"/>
    <col width="18.6640625" customWidth="1" style="160" min="7" max="7"/>
    <col width="14" customWidth="1" style="160" min="8" max="9"/>
  </cols>
  <sheetData>
    <row r="1" ht="6" customHeight="1" s="160"/>
    <row r="2" ht="18" customHeight="1" s="160">
      <c r="B2" s="236" t="inlineStr">
        <is>
          <t>POTENTIAL GROSS INCOME — MARKET RENT CALCULATION</t>
        </is>
      </c>
      <c r="C2" s="162" t="n"/>
      <c r="D2" s="162" t="n"/>
      <c r="E2" s="162" t="n"/>
      <c r="F2" s="162" t="n"/>
      <c r="G2" s="162" t="n"/>
      <c r="H2" s="162" t="n"/>
      <c r="I2" s="163" t="n"/>
    </row>
    <row r="3" ht="28.04999923706055" customHeight="1" s="160">
      <c r="B3" s="234" t="inlineStr">
        <is>
          <t>PGI = Total GBA at market rent (stabilized leased fee basis). Actual collections shown for reference only.</t>
        </is>
      </c>
      <c r="C3" s="162" t="n"/>
      <c r="D3" s="162" t="n"/>
      <c r="E3" s="162" t="n"/>
      <c r="F3" s="162" t="n"/>
      <c r="G3" s="162" t="n"/>
      <c r="H3" s="162" t="n"/>
      <c r="I3" s="163" t="n"/>
    </row>
    <row r="4" ht="6" customHeight="1" s="160"/>
    <row r="5" ht="15" customHeight="1" s="160">
      <c r="B5" s="46" t="inlineStr">
        <is>
          <t>Market Rent Assumption ($/SF):</t>
        </is>
      </c>
      <c r="C5" s="88" t="n"/>
      <c r="D5" s="89" t="n">
        <v>12</v>
      </c>
      <c r="E5" s="90" t="inlineStr">
        <is>
          <t>← Update this cell to recalculate PGI</t>
        </is>
      </c>
      <c r="F5" s="91" t="n"/>
      <c r="G5" s="91" t="n"/>
      <c r="H5" s="91" t="n"/>
      <c r="I5" s="91" t="n"/>
    </row>
    <row r="6" ht="6" customHeight="1" s="160"/>
    <row r="7" ht="16.04999923706055" customHeight="1" s="160">
      <c r="B7" s="37" t="inlineStr">
        <is>
          <t>Unit</t>
        </is>
      </c>
      <c r="C7" s="37" t="inlineStr">
        <is>
          <t>Tenant</t>
        </is>
      </c>
      <c r="D7" s="37" t="inlineStr">
        <is>
          <t>Status</t>
        </is>
      </c>
      <c r="E7" s="37" t="inlineStr">
        <is>
          <t>Size (SF)</t>
        </is>
      </c>
      <c r="F7" s="37" t="inlineStr">
        <is>
          <t>Mkt Rate ($/SF)</t>
        </is>
      </c>
      <c r="G7" s="37" t="inlineStr">
        <is>
          <t>Mkt PGI (Annual)</t>
        </is>
      </c>
      <c r="H7" s="37" t="inlineStr">
        <is>
          <t>Actual Rate</t>
        </is>
      </c>
      <c r="I7" s="37" t="inlineStr">
        <is>
          <t>Actual Annual</t>
        </is>
      </c>
    </row>
    <row r="8" ht="15" customHeight="1" s="160">
      <c r="B8" s="56" t="n"/>
      <c r="C8" s="56" t="n"/>
      <c r="D8" s="56" t="n"/>
      <c r="E8" s="74" t="n"/>
      <c r="F8" s="75">
        <f>$D$5</f>
        <v/>
      </c>
      <c r="G8" s="75">
        <f>E8*F8</f>
        <v/>
      </c>
      <c r="H8" s="57" t="n"/>
      <c r="I8" s="57" t="n"/>
    </row>
    <row r="9" ht="15" customHeight="1" s="160">
      <c r="B9" s="58" t="n"/>
      <c r="C9" s="58" t="n"/>
      <c r="D9" s="58" t="n"/>
      <c r="E9" s="77" t="n"/>
      <c r="F9" s="78">
        <f>$D$5</f>
        <v/>
      </c>
      <c r="G9" s="78">
        <f>E9*F9</f>
        <v/>
      </c>
      <c r="H9" s="78" t="n"/>
      <c r="I9" s="85" t="n"/>
    </row>
    <row r="10" ht="15" customHeight="1" s="160">
      <c r="B10" s="56" t="n"/>
      <c r="C10" s="56" t="n"/>
      <c r="D10" s="56" t="n"/>
      <c r="E10" s="74" t="n"/>
      <c r="F10" s="75">
        <f>$D$5</f>
        <v/>
      </c>
      <c r="G10" s="75">
        <f>E10*F10</f>
        <v/>
      </c>
      <c r="H10" s="75" t="n"/>
      <c r="I10" s="82" t="n"/>
    </row>
    <row r="11" ht="15" customHeight="1" s="160">
      <c r="B11" s="58" t="n"/>
      <c r="C11" s="58" t="n"/>
      <c r="D11" s="58" t="n"/>
      <c r="E11" s="77" t="n"/>
      <c r="F11" s="78">
        <f>$D$5</f>
        <v/>
      </c>
      <c r="G11" s="78">
        <f>E11*F11</f>
        <v/>
      </c>
      <c r="H11" s="78" t="n"/>
      <c r="I11" s="85" t="n"/>
    </row>
    <row r="12" ht="15" customHeight="1" s="160">
      <c r="B12" s="56" t="n"/>
      <c r="C12" s="56" t="n"/>
      <c r="D12" s="56" t="n"/>
      <c r="E12" s="74" t="n"/>
      <c r="F12" s="75">
        <f>$D$5</f>
        <v/>
      </c>
      <c r="G12" s="75">
        <f>E12*F12</f>
        <v/>
      </c>
      <c r="H12" s="75" t="n"/>
      <c r="I12" s="82" t="n"/>
    </row>
    <row r="13" ht="15" customHeight="1" s="160">
      <c r="B13" s="58" t="n"/>
      <c r="C13" s="58" t="n"/>
      <c r="D13" s="58" t="n"/>
      <c r="E13" s="77" t="n"/>
      <c r="F13" s="78">
        <f>$D$5</f>
        <v/>
      </c>
      <c r="G13" s="78">
        <f>E13*F13</f>
        <v/>
      </c>
      <c r="H13" s="78" t="n"/>
      <c r="I13" s="85" t="n"/>
    </row>
    <row r="14" ht="15" customHeight="1" s="160">
      <c r="B14" s="56" t="n"/>
      <c r="C14" s="56" t="n"/>
      <c r="D14" s="56" t="n"/>
      <c r="E14" s="74" t="n"/>
      <c r="F14" s="75">
        <f>$D$5</f>
        <v/>
      </c>
      <c r="G14" s="75">
        <f>E14*F14</f>
        <v/>
      </c>
      <c r="H14" s="75" t="n"/>
      <c r="I14" s="82" t="n"/>
    </row>
    <row r="15" ht="15" customHeight="1" s="160">
      <c r="B15" s="58" t="n"/>
      <c r="C15" s="58" t="n"/>
      <c r="D15" s="58" t="n"/>
      <c r="E15" s="77" t="n"/>
      <c r="F15" s="78">
        <f>$D$5</f>
        <v/>
      </c>
      <c r="G15" s="78">
        <f>E15*F15</f>
        <v/>
      </c>
      <c r="H15" s="78" t="n"/>
      <c r="I15" s="85" t="n"/>
    </row>
    <row r="16" ht="15" customHeight="1" s="160">
      <c r="B16" s="56" t="n"/>
      <c r="C16" s="56" t="n"/>
      <c r="D16" s="56" t="n"/>
      <c r="E16" s="74" t="n"/>
      <c r="F16" s="75">
        <f>$D$5</f>
        <v/>
      </c>
      <c r="G16" s="75">
        <f>E16*F16</f>
        <v/>
      </c>
      <c r="H16" s="57" t="n"/>
      <c r="I16" s="57" t="n"/>
    </row>
    <row r="17" ht="16.04999923706055" customHeight="1" s="160">
      <c r="B17" s="60" t="inlineStr">
        <is>
          <t>TOTALS</t>
        </is>
      </c>
      <c r="C17" s="61" t="n"/>
      <c r="D17" s="61" t="n"/>
      <c r="E17" s="92">
        <f>SUM(E8:E16)</f>
        <v/>
      </c>
      <c r="F17" s="61" t="n"/>
      <c r="G17" s="93">
        <f>SUM(G8:G16)</f>
        <v/>
      </c>
      <c r="H17" s="61" t="n"/>
      <c r="I17" s="93">
        <f>SUM(I8:I16)</f>
        <v/>
      </c>
    </row>
    <row r="18" ht="18" customHeight="1" s="160">
      <c r="B18" s="161" t="inlineStr">
        <is>
          <t>CONCLUDED PGI (feeds Income Summary):</t>
        </is>
      </c>
      <c r="C18" s="94" t="n"/>
      <c r="D18" s="94" t="n"/>
      <c r="E18" s="94" t="n"/>
      <c r="F18" s="94" t="n"/>
      <c r="G18" s="95">
        <f>G17</f>
        <v/>
      </c>
      <c r="H18" s="94" t="n"/>
      <c r="I18" s="94" t="n"/>
    </row>
    <row r="19" ht="13.94999980926514" customHeight="1" s="160">
      <c r="B19" s="238" t="inlineStr">
        <is>
          <t>Change market rent in D5 → PGI updates → income_summary!D5 updates → NOI/Value update automatically.</t>
        </is>
      </c>
      <c r="C19" s="162" t="n"/>
      <c r="D19" s="162" t="n"/>
      <c r="E19" s="162" t="n"/>
      <c r="F19" s="162" t="n"/>
      <c r="G19" s="162" t="n"/>
      <c r="H19" s="162" t="n"/>
      <c r="I19" s="163" t="n"/>
    </row>
  </sheetData>
  <mergeCells count="3">
    <mergeCell ref="B3:I3"/>
    <mergeCell ref="B19:I19"/>
    <mergeCell ref="B2:I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6"/>
  <sheetViews>
    <sheetView showGridLines="0" workbookViewId="0">
      <selection activeCell="A1" sqref="A1"/>
    </sheetView>
  </sheetViews>
  <sheetFormatPr baseColWidth="8" defaultRowHeight="13.19999980926514"/>
  <cols>
    <col width="2" customWidth="1" style="160" min="1" max="1"/>
    <col width="10" customWidth="1" style="160" min="2" max="2"/>
    <col width="32" customWidth="1" style="160" min="3" max="3"/>
    <col width="12" customWidth="1" style="160" min="4" max="5"/>
    <col width="14" customWidth="1" style="160" min="6" max="6"/>
    <col width="12" customWidth="1" style="160" min="7" max="7"/>
    <col width="14" customWidth="1" style="160" min="8" max="10"/>
  </cols>
  <sheetData>
    <row r="1" ht="6" customHeight="1" s="160"/>
    <row r="2" ht="18" customHeight="1" s="160">
      <c r="B2" s="236" t="inlineStr">
        <is>
          <t>LEASE COMPARABLE ANALYSIS</t>
        </is>
      </c>
      <c r="C2" s="162" t="n"/>
      <c r="D2" s="162" t="n"/>
      <c r="E2" s="162" t="n"/>
      <c r="F2" s="162" t="n"/>
      <c r="G2" s="162" t="n"/>
      <c r="H2" s="162" t="n"/>
      <c r="I2" s="162" t="n"/>
      <c r="J2" s="163" t="n"/>
    </row>
    <row r="3" ht="16.04999923706055" customHeight="1" s="160">
      <c r="B3" s="37" t="inlineStr">
        <is>
          <t>Comp No.</t>
        </is>
      </c>
      <c r="C3" s="37" t="inlineStr">
        <is>
          <t>Location</t>
        </is>
      </c>
      <c r="D3" s="37" t="inlineStr">
        <is>
          <t>Size (SF)</t>
        </is>
      </c>
      <c r="E3" s="37" t="inlineStr">
        <is>
          <t>Rate ($/SF)</t>
        </is>
      </c>
      <c r="F3" s="37" t="inlineStr">
        <is>
          <t>Lease Type</t>
        </is>
      </c>
      <c r="G3" s="37" t="inlineStr">
        <is>
          <t>Begin</t>
        </is>
      </c>
      <c r="H3" s="37" t="inlineStr">
        <is>
          <t>End</t>
        </is>
      </c>
      <c r="I3" s="37" t="inlineStr">
        <is>
          <t>Tenant</t>
        </is>
      </c>
      <c r="J3" s="37" t="n"/>
    </row>
    <row r="4" ht="15" customHeight="1" s="160">
      <c r="B4" s="56" t="n">
        <v>1</v>
      </c>
      <c r="C4" s="56" t="n"/>
      <c r="D4" s="74" t="n"/>
      <c r="E4" s="75" t="n"/>
      <c r="F4" s="56" t="n"/>
      <c r="G4" s="96" t="n"/>
      <c r="H4" s="96" t="n"/>
      <c r="I4" s="57" t="n"/>
      <c r="J4" s="57" t="n"/>
    </row>
    <row r="5" ht="15" customHeight="1" s="160">
      <c r="B5" s="58" t="n">
        <v>2</v>
      </c>
      <c r="C5" s="58" t="n"/>
      <c r="D5" s="77" t="n"/>
      <c r="E5" s="78" t="n"/>
      <c r="F5" s="58" t="n"/>
      <c r="G5" s="97" t="n"/>
      <c r="H5" s="97" t="n"/>
      <c r="I5" s="59" t="n"/>
      <c r="J5" s="59" t="n"/>
    </row>
    <row r="6" ht="15" customHeight="1" s="160">
      <c r="B6" s="56" t="n">
        <v>3</v>
      </c>
      <c r="C6" s="56" t="n"/>
      <c r="D6" s="74" t="n"/>
      <c r="E6" s="75" t="n"/>
      <c r="F6" s="56" t="n"/>
      <c r="G6" s="96" t="n"/>
      <c r="H6" s="96" t="n"/>
      <c r="I6" s="57" t="n"/>
      <c r="J6" s="57" t="n"/>
    </row>
    <row r="7" ht="15" customHeight="1" s="160">
      <c r="B7" s="58" t="n">
        <v>4</v>
      </c>
      <c r="C7" s="58" t="n"/>
      <c r="D7" s="77" t="n"/>
      <c r="E7" s="78" t="n"/>
      <c r="F7" s="58" t="n"/>
      <c r="G7" s="97" t="n"/>
      <c r="H7" s="97" t="n"/>
      <c r="I7" s="59" t="n"/>
      <c r="J7" s="59" t="n"/>
    </row>
    <row r="8" ht="15" customHeight="1" s="160">
      <c r="B8" s="56" t="n">
        <v>5</v>
      </c>
      <c r="C8" s="56" t="n"/>
      <c r="D8" s="74" t="n"/>
      <c r="E8" s="75" t="n"/>
      <c r="F8" s="56" t="n"/>
      <c r="G8" s="96" t="n"/>
      <c r="H8" s="96" t="n"/>
      <c r="I8" s="57" t="n"/>
      <c r="J8" s="57" t="n"/>
    </row>
    <row r="9" ht="15" customHeight="1" s="160">
      <c r="B9" s="58" t="n">
        <v>6</v>
      </c>
      <c r="C9" s="58" t="n"/>
      <c r="D9" s="77" t="n"/>
      <c r="E9" s="78" t="n"/>
      <c r="F9" s="58" t="n"/>
      <c r="G9" s="97" t="n"/>
      <c r="H9" s="97" t="n"/>
      <c r="I9" s="59" t="n"/>
      <c r="J9" s="59" t="n"/>
    </row>
    <row r="10" ht="15" customHeight="1" s="160">
      <c r="B10" s="56" t="n">
        <v>7</v>
      </c>
      <c r="C10" s="56" t="n"/>
      <c r="D10" s="74" t="n"/>
      <c r="E10" s="75" t="n"/>
      <c r="F10" s="56" t="n"/>
      <c r="G10" s="96" t="n"/>
      <c r="H10" s="96" t="n"/>
      <c r="I10" s="57" t="n"/>
      <c r="J10" s="57" t="n"/>
    </row>
    <row r="11" ht="15" customHeight="1" s="160">
      <c r="B11" s="58" t="n">
        <v>8</v>
      </c>
      <c r="C11" s="58" t="n"/>
      <c r="D11" s="77" t="n"/>
      <c r="E11" s="78" t="n"/>
      <c r="F11" s="58" t="n"/>
      <c r="G11" s="97" t="n"/>
      <c r="H11" s="97" t="n"/>
      <c r="I11" s="59" t="n"/>
      <c r="J11" s="59" t="n"/>
    </row>
    <row r="12" ht="15" customHeight="1" s="160">
      <c r="B12" s="56" t="n">
        <v>9</v>
      </c>
      <c r="C12" s="56" t="n"/>
      <c r="D12" s="74" t="n"/>
      <c r="E12" s="75" t="n"/>
      <c r="F12" s="56" t="n"/>
      <c r="G12" s="96" t="n"/>
      <c r="H12" s="96" t="n"/>
      <c r="I12" s="57" t="n"/>
      <c r="J12" s="57" t="n"/>
    </row>
    <row r="13" ht="15" customHeight="1" s="160">
      <c r="B13" s="58" t="n">
        <v>10</v>
      </c>
      <c r="C13" s="58" t="n"/>
      <c r="D13" s="77" t="n"/>
      <c r="E13" s="78" t="n"/>
      <c r="F13" s="58" t="n"/>
      <c r="G13" s="97" t="n"/>
      <c r="H13" s="97" t="n"/>
      <c r="I13" s="59" t="n"/>
      <c r="J13" s="59" t="n"/>
    </row>
    <row r="14" ht="15" customHeight="1" s="160">
      <c r="B14" s="56" t="n">
        <v>11</v>
      </c>
      <c r="C14" s="56" t="n"/>
      <c r="D14" s="74" t="n"/>
      <c r="E14" s="75" t="n"/>
      <c r="F14" s="56" t="n"/>
      <c r="G14" s="96" t="n"/>
      <c r="H14" s="96" t="n"/>
      <c r="I14" s="57" t="n"/>
      <c r="J14" s="57" t="n"/>
    </row>
    <row r="15" ht="15" customHeight="1" s="160">
      <c r="B15" s="58" t="n">
        <v>12</v>
      </c>
      <c r="C15" s="58" t="n"/>
      <c r="D15" s="77" t="n"/>
      <c r="E15" s="78" t="n"/>
      <c r="F15" s="58" t="n"/>
      <c r="G15" s="97" t="n"/>
      <c r="H15" s="97" t="n"/>
      <c r="I15" s="59" t="n"/>
      <c r="J15" s="59" t="n"/>
    </row>
    <row r="16" ht="16.04999923706055" customHeight="1" s="160">
      <c r="B16" s="60" t="inlineStr">
        <is>
          <t>MEAN</t>
        </is>
      </c>
      <c r="C16" s="61" t="n"/>
      <c r="D16" s="92" t="n"/>
      <c r="E16" s="98" t="n"/>
      <c r="F16" s="61" t="n"/>
      <c r="G16" s="61" t="n"/>
      <c r="H16" s="61" t="n"/>
      <c r="I16" s="61" t="n"/>
      <c r="J16" s="61" t="n"/>
    </row>
  </sheetData>
  <mergeCells count="1">
    <mergeCell ref="B2:J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15"/>
  <sheetViews>
    <sheetView showGridLines="0" workbookViewId="0">
      <selection activeCell="A1" sqref="A1"/>
    </sheetView>
  </sheetViews>
  <sheetFormatPr baseColWidth="8" defaultRowHeight="13.19999980926514"/>
  <cols>
    <col width="2" customWidth="1" style="160" min="1" max="1"/>
    <col width="16" customWidth="1" style="160" min="2" max="4"/>
    <col width="12" customWidth="1" style="160" min="5" max="7"/>
  </cols>
  <sheetData>
    <row r="1" ht="6" customHeight="1" s="160"/>
    <row r="2" ht="18" customHeight="1" s="160">
      <c r="B2" s="236" t="inlineStr">
        <is>
          <t>LEASE RATE SUMMARY ($/SF)</t>
        </is>
      </c>
      <c r="C2" s="162" t="n"/>
      <c r="D2" s="162" t="n"/>
      <c r="E2" s="162" t="n"/>
      <c r="F2" s="162" t="n"/>
      <c r="G2" s="163" t="n"/>
    </row>
    <row r="3" ht="16.04999923706055" customHeight="1" s="160">
      <c r="B3" s="37" t="inlineStr">
        <is>
          <t>Metric</t>
        </is>
      </c>
      <c r="C3" s="37" t="inlineStr">
        <is>
          <t>Triple-Net</t>
        </is>
      </c>
      <c r="D3" s="37" t="inlineStr">
        <is>
          <t>Full Service</t>
        </is>
      </c>
      <c r="E3" s="37" t="n"/>
      <c r="F3" s="37" t="n"/>
      <c r="G3" s="37" t="n"/>
    </row>
    <row r="4" ht="15" customHeight="1" s="160">
      <c r="B4" s="56" t="inlineStr">
        <is>
          <t>Low</t>
        </is>
      </c>
      <c r="C4" s="75" t="n">
        <v>12</v>
      </c>
      <c r="D4" s="75" t="n">
        <v>12.5</v>
      </c>
      <c r="E4" s="57" t="n"/>
      <c r="F4" s="57" t="n"/>
      <c r="G4" s="57" t="n"/>
    </row>
    <row r="5" ht="15" customHeight="1" s="160">
      <c r="B5" s="58" t="inlineStr">
        <is>
          <t>Median</t>
        </is>
      </c>
      <c r="C5" s="78" t="n">
        <v>14.5</v>
      </c>
      <c r="D5" s="78" t="n">
        <v>13.5</v>
      </c>
      <c r="E5" s="59" t="n"/>
      <c r="F5" s="59" t="n"/>
      <c r="G5" s="59" t="n"/>
    </row>
    <row r="6" ht="15" customHeight="1" s="160">
      <c r="B6" s="56" t="inlineStr">
        <is>
          <t>High</t>
        </is>
      </c>
      <c r="C6" s="75" t="n">
        <v>17</v>
      </c>
      <c r="D6" s="75" t="n">
        <v>16</v>
      </c>
      <c r="E6" s="57" t="n"/>
      <c r="F6" s="57" t="n"/>
      <c r="G6" s="57" t="n"/>
    </row>
    <row r="7" ht="15" customHeight="1" s="160">
      <c r="B7" s="58" t="inlineStr">
        <is>
          <t>Mean</t>
        </is>
      </c>
      <c r="C7" s="78" t="n">
        <v>14.27833333333333</v>
      </c>
      <c r="D7" s="78" t="n">
        <v>14.28</v>
      </c>
      <c r="E7" s="59" t="n"/>
      <c r="F7" s="59" t="n"/>
      <c r="G7" s="59" t="n"/>
    </row>
    <row r="8" ht="15" customHeight="1" s="160">
      <c r="B8" s="56" t="inlineStr">
        <is>
          <t>Count</t>
        </is>
      </c>
      <c r="C8" s="57" t="n">
        <v>6</v>
      </c>
      <c r="D8" s="57" t="n">
        <v>5</v>
      </c>
      <c r="E8" s="57" t="n"/>
      <c r="F8" s="57" t="n"/>
      <c r="G8" s="57" t="n"/>
    </row>
    <row r="9" ht="6" customHeight="1" s="160"/>
    <row r="10" ht="18" customHeight="1" s="160">
      <c r="B10" s="236" t="inlineStr">
        <is>
          <t>LEASE SIZE SUMMARY (SF)</t>
        </is>
      </c>
      <c r="C10" s="162" t="n"/>
      <c r="D10" s="162" t="n"/>
      <c r="E10" s="162" t="n"/>
      <c r="F10" s="162" t="n"/>
      <c r="G10" s="163" t="n"/>
    </row>
    <row r="11" ht="16.04999923706055" customHeight="1" s="160">
      <c r="B11" s="37" t="inlineStr">
        <is>
          <t>Metric</t>
        </is>
      </c>
      <c r="C11" s="37" t="inlineStr">
        <is>
          <t>Triple-Net</t>
        </is>
      </c>
      <c r="D11" s="37" t="inlineStr">
        <is>
          <t>Full Service</t>
        </is>
      </c>
      <c r="E11" s="37" t="n"/>
      <c r="F11" s="37" t="n"/>
      <c r="G11" s="37" t="n"/>
    </row>
    <row r="12" ht="15" customHeight="1" s="160">
      <c r="B12" s="56" t="inlineStr">
        <is>
          <t>Low</t>
        </is>
      </c>
      <c r="C12" s="74" t="n">
        <v>1063</v>
      </c>
      <c r="D12" s="74" t="n">
        <v>899</v>
      </c>
      <c r="E12" s="57" t="n"/>
      <c r="F12" s="57" t="n"/>
      <c r="G12" s="57" t="n"/>
    </row>
    <row r="13" ht="15" customHeight="1" s="160">
      <c r="B13" s="58" t="inlineStr">
        <is>
          <t>Median</t>
        </is>
      </c>
      <c r="C13" s="77" t="n">
        <v>2445</v>
      </c>
      <c r="D13" s="77" t="n">
        <v>1062</v>
      </c>
      <c r="E13" s="59" t="n"/>
      <c r="F13" s="59" t="n"/>
      <c r="G13" s="59" t="n"/>
    </row>
    <row r="14" ht="15" customHeight="1" s="160">
      <c r="B14" s="56" t="inlineStr">
        <is>
          <t>High</t>
        </is>
      </c>
      <c r="C14" s="74" t="n">
        <v>5300</v>
      </c>
      <c r="D14" s="74" t="n">
        <v>4189</v>
      </c>
      <c r="E14" s="57" t="n"/>
      <c r="F14" s="57" t="n"/>
      <c r="G14" s="57" t="n"/>
    </row>
    <row r="15" ht="15" customHeight="1" s="160">
      <c r="B15" s="58" t="inlineStr">
        <is>
          <t>Mean</t>
        </is>
      </c>
      <c r="C15" s="77" t="n">
        <v>2865.5</v>
      </c>
      <c r="D15" s="77" t="n">
        <v>1729.8</v>
      </c>
      <c r="E15" s="59" t="n"/>
      <c r="F15" s="59" t="n"/>
      <c r="G15" s="59" t="n"/>
    </row>
  </sheetData>
  <mergeCells count="2">
    <mergeCell ref="B2:G2"/>
    <mergeCell ref="B10:G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J24"/>
  <sheetViews>
    <sheetView showGridLines="0" workbookViewId="0">
      <selection activeCell="A1" sqref="A1"/>
    </sheetView>
  </sheetViews>
  <sheetFormatPr baseColWidth="8" defaultRowHeight="13.19999980926514"/>
  <cols>
    <col width="2" customWidth="1" style="160" min="1" max="1"/>
    <col width="22" customWidth="1" style="160" min="2" max="2"/>
    <col width="40.6640625" customWidth="1" style="160" min="3" max="3"/>
    <col width="12" customWidth="1" style="160" min="4" max="10"/>
  </cols>
  <sheetData>
    <row r="1" ht="6" customHeight="1" s="160"/>
    <row r="2" ht="18" customHeight="1" s="160">
      <c r="B2" s="236" t="inlineStr">
        <is>
          <t>LEASE COMPARABLE — QUALITATIVE ANALYSIS</t>
        </is>
      </c>
      <c r="C2" s="162" t="n"/>
      <c r="D2" s="162" t="n"/>
      <c r="E2" s="162" t="n"/>
      <c r="F2" s="162" t="n"/>
      <c r="G2" s="162" t="n"/>
      <c r="H2" s="162" t="n"/>
      <c r="I2" s="162" t="n"/>
      <c r="J2" s="163" t="n"/>
    </row>
    <row r="3" ht="13.94999980926514" customHeight="1" s="160">
      <c r="B3" s="239" t="n"/>
      <c r="C3" s="162" t="n"/>
      <c r="D3" s="162" t="n"/>
      <c r="E3" s="162" t="n"/>
      <c r="F3" s="162" t="n"/>
      <c r="G3" s="162" t="n"/>
      <c r="H3" s="162" t="n"/>
      <c r="I3" s="162" t="n"/>
      <c r="J3" s="163" t="n"/>
    </row>
    <row r="4" ht="16.04999923706055" customHeight="1" s="160">
      <c r="B4" s="37" t="inlineStr">
        <is>
          <t>Comp No.</t>
        </is>
      </c>
      <c r="C4" s="37" t="inlineStr">
        <is>
          <t>Location</t>
        </is>
      </c>
      <c r="D4" s="37" t="inlineStr">
        <is>
          <t>Rate ($/SF)</t>
        </is>
      </c>
      <c r="E4" s="37" t="inlineStr">
        <is>
          <t>Location</t>
        </is>
      </c>
      <c r="F4" s="37" t="inlineStr">
        <is>
          <t>Quality</t>
        </is>
      </c>
      <c r="G4" s="37" t="inlineStr">
        <is>
          <t>Condition</t>
        </is>
      </c>
      <c r="H4" s="37" t="inlineStr">
        <is>
          <t>Size</t>
        </is>
      </c>
      <c r="I4" s="37" t="inlineStr">
        <is>
          <t>Lease Terms</t>
        </is>
      </c>
      <c r="J4" s="37" t="inlineStr">
        <is>
          <t>Overall</t>
        </is>
      </c>
    </row>
    <row r="5" ht="15" customHeight="1" s="160">
      <c r="B5" s="56" t="n">
        <v>1</v>
      </c>
      <c r="C5" s="56" t="n"/>
      <c r="D5" s="75" t="n"/>
      <c r="E5" s="41" t="n"/>
      <c r="F5" s="41" t="n"/>
      <c r="G5" s="41" t="n"/>
      <c r="H5" s="41" t="n"/>
      <c r="I5" s="41" t="n"/>
      <c r="J5" s="41" t="n"/>
    </row>
    <row r="6" ht="15" customHeight="1" s="160">
      <c r="B6" s="58" t="n">
        <v>2</v>
      </c>
      <c r="C6" s="58" t="n"/>
      <c r="D6" s="78" t="n"/>
      <c r="E6" s="44" t="n"/>
      <c r="F6" s="44" t="n"/>
      <c r="G6" s="44" t="n"/>
      <c r="H6" s="99" t="n"/>
      <c r="I6" s="100" t="n"/>
      <c r="J6" s="44" t="n"/>
    </row>
    <row r="7" ht="15" customHeight="1" s="160">
      <c r="B7" s="56" t="n">
        <v>3</v>
      </c>
      <c r="C7" s="56" t="n"/>
      <c r="D7" s="75" t="n"/>
      <c r="E7" s="41" t="n"/>
      <c r="F7" s="41" t="n"/>
      <c r="G7" s="41" t="n"/>
      <c r="H7" s="41" t="n"/>
      <c r="I7" s="41" t="n"/>
      <c r="J7" s="41" t="n"/>
    </row>
    <row r="8" ht="15" customHeight="1" s="160">
      <c r="B8" s="58" t="n">
        <v>4</v>
      </c>
      <c r="C8" s="58" t="n"/>
      <c r="D8" s="78" t="n"/>
      <c r="E8" s="44" t="n"/>
      <c r="F8" s="44" t="n"/>
      <c r="G8" s="44" t="n"/>
      <c r="H8" s="99" t="n"/>
      <c r="I8" s="100" t="n"/>
      <c r="J8" s="44" t="n"/>
    </row>
    <row r="9" ht="15" customHeight="1" s="160">
      <c r="B9" s="56" t="n">
        <v>5</v>
      </c>
      <c r="C9" s="56" t="n"/>
      <c r="D9" s="75" t="n"/>
      <c r="E9" s="41" t="n"/>
      <c r="F9" s="41" t="n"/>
      <c r="G9" s="41" t="n"/>
      <c r="H9" s="41" t="n"/>
      <c r="I9" s="41" t="n"/>
      <c r="J9" s="99" t="n"/>
    </row>
    <row r="10" ht="15" customHeight="1" s="160">
      <c r="B10" s="58" t="n">
        <v>6</v>
      </c>
      <c r="C10" s="58" t="n"/>
      <c r="D10" s="78" t="n"/>
      <c r="E10" s="99" t="n"/>
      <c r="F10" s="99" t="n"/>
      <c r="G10" s="44" t="n"/>
      <c r="H10" s="99" t="n"/>
      <c r="I10" s="100" t="n"/>
      <c r="J10" s="99" t="n"/>
    </row>
    <row r="11" ht="15" customHeight="1" s="160">
      <c r="B11" s="56" t="n">
        <v>7</v>
      </c>
      <c r="C11" s="56" t="n"/>
      <c r="D11" s="75" t="n"/>
      <c r="E11" s="100" t="n"/>
      <c r="F11" s="41" t="n"/>
      <c r="G11" s="41" t="n"/>
      <c r="H11" s="41" t="n"/>
      <c r="I11" s="41" t="n"/>
      <c r="J11" s="100" t="n"/>
    </row>
    <row r="12" ht="15" customHeight="1" s="160">
      <c r="B12" s="58" t="n">
        <v>8</v>
      </c>
      <c r="C12" s="58" t="n"/>
      <c r="D12" s="78" t="n"/>
      <c r="E12" s="44" t="n"/>
      <c r="F12" s="99" t="n"/>
      <c r="G12" s="99" t="n"/>
      <c r="H12" s="100" t="n"/>
      <c r="I12" s="44" t="n"/>
      <c r="J12" s="99" t="n"/>
    </row>
    <row r="13" ht="15" customHeight="1" s="160">
      <c r="B13" s="56" t="n">
        <v>9</v>
      </c>
      <c r="C13" s="56" t="n"/>
      <c r="D13" s="75" t="n"/>
      <c r="E13" s="41" t="n"/>
      <c r="F13" s="41" t="n"/>
      <c r="G13" s="41" t="n"/>
      <c r="H13" s="99" t="n"/>
      <c r="I13" s="41" t="n"/>
      <c r="J13" s="99" t="n"/>
    </row>
    <row r="14" ht="15" customHeight="1" s="160">
      <c r="B14" s="58" t="n">
        <v>10</v>
      </c>
      <c r="C14" s="58" t="n"/>
      <c r="D14" s="78" t="n"/>
      <c r="E14" s="99" t="n"/>
      <c r="F14" s="99" t="n"/>
      <c r="G14" s="44" t="n"/>
      <c r="H14" s="100" t="n"/>
      <c r="I14" s="100" t="n"/>
      <c r="J14" s="99" t="n"/>
    </row>
    <row r="15" ht="15" customHeight="1" s="160">
      <c r="B15" s="56" t="n">
        <v>11</v>
      </c>
      <c r="C15" s="56" t="n"/>
      <c r="D15" s="75" t="n"/>
      <c r="E15" s="41" t="n"/>
      <c r="F15" s="41" t="n"/>
      <c r="G15" s="41" t="n"/>
      <c r="H15" s="99" t="n"/>
      <c r="I15" s="100" t="n"/>
      <c r="J15" s="41" t="n"/>
    </row>
    <row r="16" ht="15" customHeight="1" s="160">
      <c r="B16" s="58" t="n">
        <v>12</v>
      </c>
      <c r="C16" s="58" t="n"/>
      <c r="D16" s="78" t="n"/>
      <c r="E16" s="100" t="n"/>
      <c r="F16" s="44" t="n"/>
      <c r="G16" s="44" t="n"/>
      <c r="H16" s="99" t="n"/>
      <c r="I16" s="100" t="n"/>
      <c r="J16" s="100" t="n"/>
    </row>
    <row r="17" ht="6" customHeight="1" s="160"/>
    <row r="18" ht="18" customHeight="1" s="160">
      <c r="B18" s="236" t="inlineStr">
        <is>
          <t>MARKET RENT CONCLUSION</t>
        </is>
      </c>
      <c r="C18" s="162" t="n"/>
      <c r="D18" s="162" t="n"/>
      <c r="E18" s="162" t="n"/>
      <c r="F18" s="162" t="n"/>
      <c r="G18" s="162" t="n"/>
      <c r="H18" s="162" t="n"/>
      <c r="I18" s="162" t="n"/>
      <c r="J18" s="163" t="n"/>
    </row>
    <row r="19" ht="28.20000076293945" customHeight="1" s="160">
      <c r="B19" s="56" t="inlineStr">
        <is>
          <t>Range of Comparable Rates:</t>
        </is>
      </c>
      <c r="C19" s="56" t="n"/>
      <c r="D19" s="56" t="n"/>
      <c r="E19" s="56" t="n"/>
      <c r="F19" s="56" t="n"/>
      <c r="G19" s="56" t="n"/>
      <c r="H19" s="56" t="n"/>
      <c r="I19" s="56" t="n"/>
      <c r="J19" s="56" t="n"/>
    </row>
    <row r="20" ht="35.40000152587891" customHeight="1" s="160">
      <c r="B20" s="198" t="inlineStr">
        <is>
          <t xml:space="preserve">Most Comparable Comps </t>
        </is>
      </c>
      <c r="C20" s="58" t="n"/>
      <c r="D20" s="58" t="n"/>
      <c r="E20" s="58" t="n"/>
      <c r="F20" s="58" t="n"/>
      <c r="G20" s="58" t="n"/>
      <c r="H20" s="58" t="n"/>
      <c r="I20" s="58" t="n"/>
      <c r="J20" s="58" t="n"/>
    </row>
    <row r="21" ht="35.40000152587891" customHeight="1" s="160">
      <c r="B21" s="58" t="inlineStr">
        <is>
          <t>Size Adjustment:</t>
        </is>
      </c>
      <c r="C21" s="58" t="n"/>
      <c r="D21" s="58" t="n"/>
      <c r="E21" s="58" t="n"/>
      <c r="F21" s="58" t="n"/>
      <c r="G21" s="58" t="n"/>
      <c r="H21" s="58" t="n"/>
      <c r="I21" s="58" t="n"/>
      <c r="J21" s="58" t="n"/>
    </row>
    <row r="22" ht="37.20000076293945" customHeight="1" s="160">
      <c r="B22" s="56" t="inlineStr">
        <is>
          <t>Concluded Market Rent:</t>
        </is>
      </c>
      <c r="C22" s="56" t="n"/>
      <c r="D22" s="56" t="n"/>
      <c r="E22" s="56" t="n"/>
      <c r="F22" s="56" t="n"/>
      <c r="G22" s="56" t="n"/>
      <c r="H22" s="56" t="n"/>
      <c r="I22" s="56" t="n"/>
      <c r="J22" s="56" t="n"/>
    </row>
    <row r="23" ht="6" customHeight="1" s="160"/>
    <row r="24" ht="13.94999980926514" customHeight="1" s="160">
      <c r="B24" s="62" t="inlineStr">
        <is>
          <t>Color Key:</t>
        </is>
      </c>
      <c r="C24" s="62" t="inlineStr">
        <is>
          <t>Superior</t>
        </is>
      </c>
      <c r="D24" s="62" t="inlineStr">
        <is>
          <t>Similar</t>
        </is>
      </c>
      <c r="E24" s="62" t="inlineStr">
        <is>
          <t>Inferior</t>
        </is>
      </c>
      <c r="F24" s="62" t="n"/>
      <c r="G24" s="62" t="n"/>
      <c r="H24" s="62" t="n"/>
      <c r="I24" s="62" t="n"/>
      <c r="J24" s="62" t="n"/>
    </row>
  </sheetData>
  <mergeCells count="3">
    <mergeCell ref="B18:J18"/>
    <mergeCell ref="B3:J3"/>
    <mergeCell ref="B2:J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J14"/>
  <sheetViews>
    <sheetView showGridLines="0" workbookViewId="0">
      <selection activeCell="A1" sqref="A1"/>
    </sheetView>
  </sheetViews>
  <sheetFormatPr baseColWidth="8" defaultRowHeight="13.19999980926514"/>
  <cols>
    <col width="2" customWidth="1" style="160" min="1" max="1"/>
    <col width="8" customWidth="1" style="160" min="2" max="2"/>
    <col width="28" customWidth="1" style="160" min="3" max="3"/>
    <col width="12" customWidth="1" style="160" min="4" max="4"/>
    <col width="14" customWidth="1" style="160" min="5" max="7"/>
    <col width="12" customWidth="1" style="160" min="8" max="10"/>
  </cols>
  <sheetData>
    <row r="1" ht="6" customHeight="1" s="160"/>
    <row r="2" ht="18" customHeight="1" s="160">
      <c r="B2" s="236" t="inlineStr">
        <is>
          <t>SUBJECT PROPERTY — RENT ROLL</t>
        </is>
      </c>
      <c r="C2" s="162" t="n"/>
      <c r="D2" s="162" t="n"/>
      <c r="E2" s="162" t="n"/>
      <c r="F2" s="162" t="n"/>
      <c r="G2" s="162" t="n"/>
      <c r="H2" s="162" t="n"/>
      <c r="I2" s="162" t="n"/>
      <c r="J2" s="163" t="n"/>
    </row>
    <row r="3" ht="16.04999923706055" customHeight="1" s="160">
      <c r="B3" s="37" t="inlineStr">
        <is>
          <t>Unit</t>
        </is>
      </c>
      <c r="C3" s="37" t="inlineStr">
        <is>
          <t>Tenant</t>
        </is>
      </c>
      <c r="D3" s="37" t="inlineStr">
        <is>
          <t>Size (SF)</t>
        </is>
      </c>
      <c r="E3" s="37" t="inlineStr">
        <is>
          <t>Monthly Rent</t>
        </is>
      </c>
      <c r="F3" s="37" t="inlineStr">
        <is>
          <t>Annual Rent</t>
        </is>
      </c>
      <c r="G3" s="37" t="inlineStr">
        <is>
          <t>Rate ($/SF)</t>
        </is>
      </c>
      <c r="H3" s="37" t="inlineStr">
        <is>
          <t>Lease Start</t>
        </is>
      </c>
      <c r="I3" s="37" t="inlineStr">
        <is>
          <t>Lease End</t>
        </is>
      </c>
      <c r="J3" s="37" t="n"/>
    </row>
    <row r="4" ht="15" customHeight="1" s="160">
      <c r="B4" s="56" t="n"/>
      <c r="C4" s="56" t="n"/>
      <c r="D4" s="74" t="n"/>
      <c r="E4" s="75" t="n"/>
      <c r="F4" s="75" t="n"/>
      <c r="G4" s="75" t="n"/>
      <c r="H4" s="96" t="n"/>
      <c r="I4" s="96" t="n"/>
      <c r="J4" s="57" t="n"/>
    </row>
    <row r="5" ht="15" customHeight="1" s="160">
      <c r="B5" s="58" t="n"/>
      <c r="C5" s="58" t="n"/>
      <c r="D5" s="77" t="n"/>
      <c r="E5" s="78" t="n"/>
      <c r="F5" s="78" t="n"/>
      <c r="G5" s="78" t="n"/>
      <c r="H5" s="97" t="n"/>
      <c r="I5" s="97" t="n"/>
      <c r="J5" s="59" t="n"/>
    </row>
    <row r="6" ht="15" customHeight="1" s="160">
      <c r="B6" s="56" t="n"/>
      <c r="C6" s="56" t="n"/>
      <c r="D6" s="74" t="n"/>
      <c r="E6" s="75" t="n"/>
      <c r="F6" s="75" t="n"/>
      <c r="G6" s="75" t="n"/>
      <c r="H6" s="96" t="n"/>
      <c r="I6" s="96" t="n"/>
      <c r="J6" s="57" t="n"/>
    </row>
    <row r="7" ht="15" customHeight="1" s="160">
      <c r="B7" s="58" t="n"/>
      <c r="C7" s="58" t="n"/>
      <c r="D7" s="77" t="n"/>
      <c r="E7" s="78" t="n"/>
      <c r="F7" s="78" t="n"/>
      <c r="G7" s="78" t="n"/>
      <c r="H7" s="97" t="n"/>
      <c r="I7" s="97" t="n"/>
      <c r="J7" s="59" t="n"/>
    </row>
    <row r="8" ht="15" customHeight="1" s="160">
      <c r="B8" s="56" t="n"/>
      <c r="C8" s="56" t="n"/>
      <c r="D8" s="74" t="n"/>
      <c r="E8" s="75" t="n"/>
      <c r="F8" s="75" t="n"/>
      <c r="G8" s="75" t="n"/>
      <c r="H8" s="96" t="n"/>
      <c r="I8" s="96" t="n"/>
      <c r="J8" s="57" t="n"/>
    </row>
    <row r="9" ht="15" customHeight="1" s="160">
      <c r="B9" s="58" t="n"/>
      <c r="C9" s="58" t="n"/>
      <c r="D9" s="77" t="n"/>
      <c r="E9" s="78" t="n"/>
      <c r="F9" s="78" t="n"/>
      <c r="G9" s="78" t="n"/>
      <c r="H9" s="97" t="n"/>
      <c r="I9" s="97" t="n"/>
      <c r="J9" s="59" t="n"/>
    </row>
    <row r="10" ht="15" customHeight="1" s="160">
      <c r="B10" s="56" t="n"/>
      <c r="C10" s="56" t="n"/>
      <c r="D10" s="74" t="n"/>
      <c r="E10" s="75" t="n"/>
      <c r="F10" s="75" t="n"/>
      <c r="G10" s="75" t="n"/>
      <c r="H10" s="96" t="n"/>
      <c r="I10" s="96" t="n"/>
      <c r="J10" s="57" t="n"/>
    </row>
    <row r="11" ht="15" customHeight="1" s="160">
      <c r="B11" s="58" t="n"/>
      <c r="C11" s="58" t="n"/>
      <c r="D11" s="77" t="n"/>
      <c r="E11" s="78" t="n"/>
      <c r="F11" s="78" t="n"/>
      <c r="G11" s="78" t="n"/>
      <c r="H11" s="97" t="n"/>
      <c r="I11" s="97" t="n"/>
      <c r="J11" s="59" t="n"/>
    </row>
    <row r="12" ht="15" customHeight="1" s="160">
      <c r="B12" s="56" t="n"/>
      <c r="C12" s="56" t="n"/>
      <c r="D12" s="74" t="n"/>
      <c r="E12" s="75" t="n"/>
      <c r="F12" s="75" t="n"/>
      <c r="G12" s="75" t="n"/>
      <c r="H12" s="96" t="n"/>
      <c r="I12" s="96" t="n"/>
      <c r="J12" s="57" t="n"/>
    </row>
    <row r="13" ht="16.04999923706055" customHeight="1" s="160">
      <c r="B13" s="60" t="inlineStr">
        <is>
          <t>TOTALS / AVERAGES</t>
        </is>
      </c>
      <c r="C13" s="61" t="n"/>
      <c r="D13" s="92" t="n"/>
      <c r="E13" s="98" t="n"/>
      <c r="F13" s="98" t="n"/>
      <c r="G13" s="61" t="n"/>
      <c r="H13" s="61" t="n"/>
      <c r="I13" s="61" t="n"/>
      <c r="J13" s="61" t="n"/>
    </row>
    <row r="14" ht="15" customHeight="1" s="160">
      <c r="B14" s="62" t="n"/>
      <c r="C14" s="63" t="inlineStr">
        <is>
          <t>Occupied Only</t>
        </is>
      </c>
      <c r="D14" s="101" t="n"/>
      <c r="E14" s="102" t="n"/>
      <c r="F14" s="102" t="n"/>
      <c r="G14" s="64" t="n"/>
      <c r="H14" s="63" t="n"/>
      <c r="I14" s="63" t="n"/>
      <c r="J14" s="63" t="n"/>
    </row>
  </sheetData>
  <mergeCells count="1">
    <mergeCell ref="B2:J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0" workbookViewId="0">
      <selection activeCell="A1" sqref="A1"/>
    </sheetView>
  </sheetViews>
  <sheetFormatPr baseColWidth="8" defaultRowHeight="13.19999980926514"/>
  <cols>
    <col width="2" customWidth="1" style="160" min="1" max="1"/>
    <col width="26" customWidth="1" style="160" min="2" max="2"/>
    <col width="21" customWidth="1" style="160" min="3" max="3"/>
    <col width="16" customWidth="1" style="160" min="4" max="4"/>
    <col width="25" customWidth="1" style="160" min="5" max="5"/>
    <col width="25.109375" customWidth="1" style="160" min="6" max="6"/>
    <col width="16" customWidth="1" style="160" min="7" max="7"/>
    <col width="23" customWidth="1" style="160" min="8" max="8"/>
    <col width="12" customWidth="1" style="160" min="9" max="9"/>
  </cols>
  <sheetData>
    <row r="1" ht="6" customHeight="1" s="160"/>
    <row r="2" ht="18" customHeight="1" s="160">
      <c r="B2" s="236" t="inlineStr">
        <is>
          <t>OPERATING EXPENSE COMPARISON</t>
        </is>
      </c>
      <c r="C2" s="162" t="n"/>
      <c r="D2" s="162" t="n"/>
      <c r="E2" s="162" t="n"/>
      <c r="F2" s="162" t="n"/>
      <c r="G2" s="162" t="n"/>
      <c r="H2" s="162" t="n"/>
      <c r="I2" s="163" t="n"/>
    </row>
    <row r="3" ht="28.04999923706055" customHeight="1" s="160">
      <c r="B3" s="234" t="inlineStr">
        <is>
          <t>Benchmarks from CoStar/BOMA survey data. Subject estimates derived from market benchmarks and appraiser judgment. Values feed Income Summary.</t>
        </is>
      </c>
      <c r="C3" s="162" t="n"/>
      <c r="D3" s="162" t="n"/>
      <c r="E3" s="162" t="n"/>
      <c r="F3" s="162" t="n"/>
      <c r="G3" s="162" t="n"/>
      <c r="H3" s="162" t="n"/>
      <c r="I3" s="163" t="n"/>
    </row>
    <row r="4" ht="6" customHeight="1" s="160"/>
    <row r="5" ht="30" customHeight="1" s="160">
      <c r="B5" s="37" t="inlineStr">
        <is>
          <t>Expense Category</t>
        </is>
      </c>
      <c r="C5" s="37" t="inlineStr">
        <is>
          <t>Demo North
$/SF</t>
        </is>
      </c>
      <c r="D5" s="37" t="inlineStr">
        <is>
          <t>Demo North
Subj. Estimate</t>
        </is>
      </c>
      <c r="E5" s="37" t="inlineStr">
        <is>
          <t>Test Metro Mkt
$/SF</t>
        </is>
      </c>
      <c r="F5" s="37" t="inlineStr">
        <is>
          <t>Test Metro Mkt
Subj. Estimate</t>
        </is>
      </c>
      <c r="G5" s="37" t="inlineStr">
        <is>
          <t>Subject
Concluded $/SF</t>
        </is>
      </c>
      <c r="H5" s="37" t="inlineStr">
        <is>
          <t>Subject
Concluded Annual</t>
        </is>
      </c>
      <c r="I5" s="37" t="n"/>
    </row>
    <row r="6" ht="15" customHeight="1" s="160">
      <c r="B6" s="56" t="inlineStr">
        <is>
          <t>Management</t>
        </is>
      </c>
      <c r="C6" s="75" t="n">
        <v>0.36</v>
      </c>
      <c r="D6" s="75" t="n">
        <v>8160.48</v>
      </c>
      <c r="E6" s="75" t="n">
        <v>0.62</v>
      </c>
      <c r="F6" s="75" t="n">
        <v>14054.16</v>
      </c>
      <c r="G6" s="103" t="inlineStr">
        <is>
          <t>% of EGI</t>
        </is>
      </c>
      <c r="H6" s="57" t="inlineStr">
        <is>
          <t>(formula-driven in Income Summary)</t>
        </is>
      </c>
      <c r="I6" s="57" t="n"/>
    </row>
    <row r="7" ht="15" customHeight="1" s="160">
      <c r="B7" s="58" t="inlineStr">
        <is>
          <t>Ad Valorem Taxes</t>
        </is>
      </c>
      <c r="C7" s="78" t="n">
        <v>0.89</v>
      </c>
      <c r="D7" s="78" t="n">
        <v>20174.52</v>
      </c>
      <c r="E7" s="78" t="n">
        <v>1.01</v>
      </c>
      <c r="F7" s="78" t="n">
        <v>22894.68</v>
      </c>
      <c r="G7" s="103" t="n">
        <v>1.2717</v>
      </c>
      <c r="H7" s="85" t="n">
        <v>28827</v>
      </c>
      <c r="I7" s="59" t="n"/>
    </row>
    <row r="8" ht="15" customHeight="1" s="160">
      <c r="B8" s="56" t="inlineStr">
        <is>
          <t>Insurance</t>
        </is>
      </c>
      <c r="C8" s="75" t="n">
        <v>0.47</v>
      </c>
      <c r="D8" s="75" t="n">
        <v>10653.96</v>
      </c>
      <c r="E8" s="75" t="n">
        <v>0.25</v>
      </c>
      <c r="F8" s="75" t="n">
        <v>5667</v>
      </c>
      <c r="G8" s="103" t="n">
        <v>0.3309</v>
      </c>
      <c r="H8" s="82" t="n">
        <v>7500</v>
      </c>
      <c r="I8" s="57" t="n"/>
    </row>
    <row r="9" ht="15" customHeight="1" s="160">
      <c r="B9" s="58" t="inlineStr">
        <is>
          <t>Utilities</t>
        </is>
      </c>
      <c r="C9" s="78" t="n">
        <v>2.38</v>
      </c>
      <c r="D9" s="78" t="n">
        <v>53949.84</v>
      </c>
      <c r="E9" s="78" t="n">
        <v>2.34</v>
      </c>
      <c r="F9" s="78" t="n">
        <v>53043.12</v>
      </c>
      <c r="G9" s="103" t="n">
        <v>2.316</v>
      </c>
      <c r="H9" s="85" t="n">
        <v>52500</v>
      </c>
      <c r="I9" s="59" t="n"/>
    </row>
    <row r="10" ht="15" customHeight="1" s="160">
      <c r="B10" s="56" t="inlineStr">
        <is>
          <t>Maintenance &amp; Repairs</t>
        </is>
      </c>
      <c r="C10" s="75" t="n">
        <v>1.94</v>
      </c>
      <c r="D10" s="75" t="n">
        <v>43975.92</v>
      </c>
      <c r="E10" s="75" t="n">
        <v>0.97</v>
      </c>
      <c r="F10" s="75" t="n">
        <v>21987.96</v>
      </c>
      <c r="G10" s="103" t="n">
        <v>0.9926</v>
      </c>
      <c r="H10" s="82" t="n">
        <v>22500</v>
      </c>
      <c r="I10" s="57" t="n"/>
    </row>
    <row r="11" ht="15" customHeight="1" s="160">
      <c r="B11" s="58" t="inlineStr">
        <is>
          <t>Reserves for Replacement</t>
        </is>
      </c>
      <c r="C11" s="78" t="n">
        <v>0.07000000000000001</v>
      </c>
      <c r="D11" s="78" t="n">
        <v>1586.76</v>
      </c>
      <c r="E11" s="78" t="n">
        <v>0.07000000000000001</v>
      </c>
      <c r="F11" s="78" t="n">
        <v>1586.76</v>
      </c>
      <c r="G11" s="103" t="n">
        <v>0.06619999999999999</v>
      </c>
      <c r="H11" s="85" t="n">
        <v>1500</v>
      </c>
      <c r="I11" s="59" t="n"/>
    </row>
    <row r="12" ht="15" customHeight="1" s="160">
      <c r="B12" s="56" t="inlineStr">
        <is>
          <t>Professional Fees &amp; Misc.</t>
        </is>
      </c>
      <c r="C12" s="75" t="n">
        <v>0.04</v>
      </c>
      <c r="D12" s="75" t="n">
        <v>906.72</v>
      </c>
      <c r="E12" s="75" t="n">
        <v>0.04</v>
      </c>
      <c r="F12" s="75" t="n">
        <v>906.72</v>
      </c>
      <c r="G12" s="103" t="n">
        <v>0.0441</v>
      </c>
      <c r="H12" s="82" t="n">
        <v>1000</v>
      </c>
      <c r="I12" s="57" t="n"/>
    </row>
    <row r="13" ht="16.04999923706055" customHeight="1" s="160">
      <c r="B13" s="60" t="inlineStr">
        <is>
          <t>TOTALS</t>
        </is>
      </c>
      <c r="C13" s="61" t="n"/>
      <c r="D13" s="93">
        <f>SUM(D6:D12)</f>
        <v/>
      </c>
      <c r="E13" s="61" t="n"/>
      <c r="F13" s="93">
        <f>SUM(F6:F12)</f>
        <v/>
      </c>
      <c r="G13" s="61" t="n"/>
      <c r="H13" s="93">
        <f>SUM(H6:H12)</f>
        <v/>
      </c>
      <c r="I13" s="61" t="n"/>
    </row>
    <row r="14" ht="28.04999923706055" customHeight="1" s="160">
      <c r="B14" s="238" t="inlineStr">
        <is>
          <t>Note: Management excluded from totals (percentage-based in Income Summary). Blue cells are editable inputs — update Subject Concluded Annual to adjust expense assumptions.</t>
        </is>
      </c>
      <c r="C14" s="162" t="n"/>
      <c r="D14" s="162" t="n"/>
      <c r="E14" s="162" t="n"/>
      <c r="F14" s="162" t="n"/>
      <c r="G14" s="162" t="n"/>
      <c r="H14" s="162" t="n"/>
      <c r="I14" s="163" t="n"/>
    </row>
  </sheetData>
  <mergeCells count="3">
    <mergeCell ref="B3:I3"/>
    <mergeCell ref="B14:I14"/>
    <mergeCell ref="B2:I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E22"/>
  <sheetViews>
    <sheetView showGridLines="0" workbookViewId="0">
      <selection activeCell="A1" sqref="A1"/>
    </sheetView>
  </sheetViews>
  <sheetFormatPr baseColWidth="8" defaultRowHeight="13.19999980926514"/>
  <cols>
    <col width="2" customWidth="1" style="160" min="1" max="1"/>
    <col width="36" customWidth="1" style="160" min="2" max="2"/>
    <col width="16" customWidth="1" style="160" min="3" max="4"/>
    <col width="12" customWidth="1" style="160" min="5" max="5"/>
  </cols>
  <sheetData>
    <row r="1" ht="6" customHeight="1" s="160"/>
    <row r="2" ht="18" customHeight="1" s="160">
      <c r="B2" s="236" t="inlineStr">
        <is>
          <t>INCOME APPROACH — DIRECT CAPITALIZATION</t>
        </is>
      </c>
      <c r="C2" s="162" t="n"/>
      <c r="D2" s="162" t="n"/>
      <c r="E2" s="163" t="n"/>
    </row>
    <row r="3" ht="16.04999923706055" customHeight="1" s="160">
      <c r="B3" s="37" t="inlineStr">
        <is>
          <t>Income / Expense Item</t>
        </is>
      </c>
      <c r="C3" s="37" t="inlineStr">
        <is>
          <t>Rate / Basis</t>
        </is>
      </c>
      <c r="D3" s="37" t="inlineStr">
        <is>
          <t>Amount</t>
        </is>
      </c>
      <c r="E3" s="37" t="n"/>
    </row>
    <row r="4" ht="15" customHeight="1" s="160">
      <c r="B4" s="62" t="inlineStr">
        <is>
          <t>Income</t>
        </is>
      </c>
      <c r="C4" s="62" t="n"/>
      <c r="D4" s="62" t="n"/>
      <c r="E4" s="62" t="n"/>
    </row>
    <row r="5" ht="15" customHeight="1" s="160">
      <c r="B5" s="56" t="inlineStr">
        <is>
          <t>Potential Gross Income</t>
        </is>
      </c>
      <c r="C5" s="104" t="n"/>
      <c r="D5" s="82">
        <f>pgi_calc!G17</f>
        <v/>
      </c>
      <c r="E5" s="57" t="n"/>
    </row>
    <row r="6" ht="15" customHeight="1" s="160">
      <c r="B6" s="58" t="inlineStr">
        <is>
          <t>Expense Reimbursements</t>
        </is>
      </c>
      <c r="C6" s="105" t="n"/>
      <c r="D6" s="106" t="n">
        <v>62797</v>
      </c>
      <c r="E6" s="59" t="n"/>
    </row>
    <row r="7" ht="15" customHeight="1" s="160">
      <c r="B7" s="56" t="inlineStr">
        <is>
          <t>Less: Vacancy &amp; Credit Loss</t>
        </is>
      </c>
      <c r="C7" s="107" t="n">
        <v>0.2</v>
      </c>
      <c r="D7" s="82">
        <f>-C7*(D5+D6)</f>
        <v/>
      </c>
      <c r="E7" s="57" t="n"/>
    </row>
    <row r="8" ht="15" customHeight="1" s="160">
      <c r="B8" s="60" t="inlineStr">
        <is>
          <t>Effective Gross Income</t>
        </is>
      </c>
      <c r="C8" s="108" t="n"/>
      <c r="D8" s="93">
        <f>D5+D6+D7</f>
        <v/>
      </c>
      <c r="E8" s="67" t="n"/>
    </row>
    <row r="9" ht="15" customHeight="1" s="160">
      <c r="B9" s="62" t="inlineStr">
        <is>
          <t>Operating Expenses</t>
        </is>
      </c>
      <c r="C9" s="62" t="n"/>
      <c r="D9" s="62" t="n"/>
      <c r="E9" s="62" t="n"/>
    </row>
    <row r="10" ht="15" customHeight="1" s="160">
      <c r="B10" s="56" t="inlineStr">
        <is>
          <t xml:space="preserve">    Management</t>
        </is>
      </c>
      <c r="C10" s="107" t="n">
        <v>0.06</v>
      </c>
      <c r="D10" s="82">
        <f>C10*D8</f>
        <v/>
      </c>
      <c r="E10" s="57" t="n"/>
    </row>
    <row r="11" ht="15" customHeight="1" s="160">
      <c r="B11" s="58" t="inlineStr">
        <is>
          <t xml:space="preserve">    Ad Valorem Taxes</t>
        </is>
      </c>
      <c r="C11" s="105" t="n"/>
      <c r="D11" s="85">
        <f>expense_comp!H8</f>
        <v/>
      </c>
      <c r="E11" s="59" t="n"/>
    </row>
    <row r="12" ht="15" customHeight="1" s="160">
      <c r="B12" s="56" t="inlineStr">
        <is>
          <t xml:space="preserve">    Insurance</t>
        </is>
      </c>
      <c r="C12" s="104" t="n"/>
      <c r="D12" s="82">
        <f>expense_comp!H9</f>
        <v/>
      </c>
      <c r="E12" s="57" t="n"/>
    </row>
    <row r="13" ht="15" customHeight="1" s="160">
      <c r="B13" s="58" t="inlineStr">
        <is>
          <t xml:space="preserve">    Utilities</t>
        </is>
      </c>
      <c r="C13" s="105" t="n"/>
      <c r="D13" s="85">
        <f>expense_comp!H10</f>
        <v/>
      </c>
      <c r="E13" s="59" t="n"/>
    </row>
    <row r="14" ht="15" customHeight="1" s="160">
      <c r="B14" s="56" t="inlineStr">
        <is>
          <t xml:space="preserve">    Maintenance &amp; Repairs</t>
        </is>
      </c>
      <c r="C14" s="104" t="n"/>
      <c r="D14" s="82">
        <f>expense_comp!H11</f>
        <v/>
      </c>
      <c r="E14" s="57" t="n"/>
    </row>
    <row r="15" ht="15" customHeight="1" s="160">
      <c r="B15" s="58" t="inlineStr">
        <is>
          <t xml:space="preserve">    Reserves for Replacement</t>
        </is>
      </c>
      <c r="C15" s="105" t="n"/>
      <c r="D15" s="85">
        <f>expense_comp!H12</f>
        <v/>
      </c>
      <c r="E15" s="59" t="n"/>
    </row>
    <row r="16" ht="15" customHeight="1" s="160">
      <c r="B16" s="56" t="inlineStr">
        <is>
          <t xml:space="preserve">    Professional Fees &amp; Misc.</t>
        </is>
      </c>
      <c r="C16" s="104" t="n"/>
      <c r="D16" s="82">
        <f>expense_comp!H13</f>
        <v/>
      </c>
      <c r="E16" s="57" t="n"/>
    </row>
    <row r="17" ht="16.04999923706055" customHeight="1" s="160">
      <c r="B17" s="60" t="inlineStr">
        <is>
          <t>Total Operating Expenses</t>
        </is>
      </c>
      <c r="C17" s="109">
        <f>D17/D8</f>
        <v/>
      </c>
      <c r="D17" s="93">
        <f>SUM(D10:D16)</f>
        <v/>
      </c>
      <c r="E17" s="61" t="n"/>
    </row>
    <row r="18" ht="18" customHeight="1" s="160">
      <c r="B18" s="71" t="inlineStr">
        <is>
          <t>Net Operating Income</t>
        </is>
      </c>
      <c r="C18" s="166" t="n"/>
      <c r="D18" s="110">
        <f>D8-D17</f>
        <v/>
      </c>
      <c r="E18" s="73" t="n"/>
    </row>
    <row r="19" ht="15" customHeight="1" s="160">
      <c r="B19" s="56" t="inlineStr">
        <is>
          <t>Capitalization Rate Applied</t>
        </is>
      </c>
      <c r="C19" s="111" t="n">
        <v>0.095</v>
      </c>
      <c r="D19" s="57" t="n"/>
      <c r="E19" s="57" t="n"/>
    </row>
    <row r="20" ht="18" customHeight="1" s="160">
      <c r="B20" s="71" t="inlineStr">
        <is>
          <t>Indicated Value by Income Approach</t>
        </is>
      </c>
      <c r="C20" s="110">
        <f>D18/C19</f>
        <v/>
      </c>
      <c r="D20" s="166" t="n"/>
      <c r="E20" s="73" t="n"/>
    </row>
    <row r="21" ht="16.04999923706055" customHeight="1" s="160">
      <c r="B21" s="60" t="inlineStr">
        <is>
          <t>Rounded Value Indication</t>
        </is>
      </c>
      <c r="C21" s="93">
        <f>ROUND(C20/25000,0)*25000</f>
        <v/>
      </c>
      <c r="D21" s="61" t="n"/>
      <c r="E21" s="61" t="n"/>
    </row>
    <row r="22" ht="13.94999980926514" customHeight="1" s="160">
      <c r="B22" s="238" t="inlineStr">
        <is>
          <t>Note: PGI = market-derived (not actual collections). Actual collections: see subject_units tab.</t>
        </is>
      </c>
      <c r="C22" s="162" t="n"/>
      <c r="D22" s="162" t="n"/>
      <c r="E22" s="163" t="n"/>
    </row>
  </sheetData>
  <mergeCells count="2">
    <mergeCell ref="B22:E22"/>
    <mergeCell ref="B2:E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L133"/>
  <sheetViews>
    <sheetView showGridLines="0" workbookViewId="0">
      <selection activeCell="A1" sqref="A1"/>
    </sheetView>
  </sheetViews>
  <sheetFormatPr baseColWidth="8" defaultColWidth="8.6640625" defaultRowHeight="13.19999980926514"/>
  <cols>
    <col width="2" customWidth="1" style="160" min="1" max="1"/>
    <col width="22" customWidth="1" style="160" min="2" max="2"/>
    <col width="14" customWidth="1" style="160" min="3" max="3"/>
    <col width="24" customWidth="1" style="160" min="4" max="4"/>
    <col width="36" customWidth="1" style="160" min="5" max="5"/>
    <col width="13" customWidth="1" style="160" min="6" max="6"/>
    <col width="12" customWidth="1" style="160" min="7" max="7"/>
    <col width="11" customWidth="1" style="160" min="8" max="11"/>
    <col width="13" customWidth="1" style="160" min="12" max="12"/>
  </cols>
  <sheetData>
    <row r="2" ht="19.5" customHeight="1" s="160">
      <c r="B2" s="203" t="inlineStr">
        <is>
          <t>OUTPUTS — SALES COMPARISON APPROACH</t>
        </is>
      </c>
    </row>
    <row r="3" ht="15" customHeight="1" s="160">
      <c r="B3" s="2" t="inlineStr">
        <is>
          <t>Placeholder</t>
        </is>
      </c>
      <c r="C3" s="2" t="inlineStr">
        <is>
          <t>Raw Value</t>
        </is>
      </c>
      <c r="D3" s="2" t="inlineStr">
        <is>
          <t>Report Format (→ Word)</t>
        </is>
      </c>
      <c r="E3" s="2" t="inlineStr">
        <is>
          <t>Notes</t>
        </is>
      </c>
    </row>
    <row r="4" ht="15" customHeight="1" s="160">
      <c r="B4" s="211" t="inlineStr">
        <is>
          <t>Summary Statistics</t>
        </is>
      </c>
    </row>
    <row r="5" ht="15" customHeight="1" s="160">
      <c r="B5" s="11" t="inlineStr">
        <is>
          <t>SCA_COMP_UNIT_LOW</t>
        </is>
      </c>
      <c r="C5" s="4">
        <f>MIN(sales!G9:G15)</f>
        <v/>
      </c>
      <c r="D5" s="5">
        <f>"$"&amp;TEXT(C5,"#,##0.00")&amp;" per SF"</f>
        <v/>
      </c>
      <c r="E5" s="12" t="inlineStr">
        <is>
          <t>Unadj. low $/SF</t>
        </is>
      </c>
    </row>
    <row r="6" ht="15" customHeight="1" s="160">
      <c r="B6" s="11" t="inlineStr">
        <is>
          <t>SCA_COMP_UNIT_HIGH</t>
        </is>
      </c>
      <c r="C6" s="4">
        <f>MAX(sales!G9:G15)</f>
        <v/>
      </c>
      <c r="D6" s="5">
        <f>"$"&amp;TEXT(C6,"#,##0.00")&amp;" per SF"</f>
        <v/>
      </c>
      <c r="E6" s="12" t="inlineStr">
        <is>
          <t>Unadj. high $/SF</t>
        </is>
      </c>
    </row>
    <row r="7" ht="15" customHeight="1" s="160">
      <c r="B7" s="11" t="inlineStr">
        <is>
          <t>SCA_COMP_UNIT_MEDIAN</t>
        </is>
      </c>
      <c r="C7" s="4">
        <f>MEDIAN(sales!G9:G15)</f>
        <v/>
      </c>
      <c r="D7" s="5">
        <f>"$"&amp;TEXT(C7,"#,##0.00")&amp;" per SF"</f>
        <v/>
      </c>
      <c r="E7" s="12" t="inlineStr">
        <is>
          <t>Unadj. median $/SF</t>
        </is>
      </c>
    </row>
    <row r="8" ht="15" customHeight="1" s="160">
      <c r="B8" s="11" t="inlineStr">
        <is>
          <t>SCA_ADJ_UNIT_LOW</t>
        </is>
      </c>
      <c r="C8" s="4">
        <f>MIN(sales!J20:J26)</f>
        <v/>
      </c>
      <c r="D8" s="5">
        <f>"$"&amp;TEXT(C8,"#,##0.00")&amp;" per SF"</f>
        <v/>
      </c>
      <c r="E8" s="12" t="inlineStr">
        <is>
          <t>Indicated low $/SF (adj.)</t>
        </is>
      </c>
    </row>
    <row r="9" ht="15" customHeight="1" s="160">
      <c r="B9" s="11" t="inlineStr">
        <is>
          <t>SCA_ADJ_UNIT_HIGH</t>
        </is>
      </c>
      <c r="C9" s="4">
        <f>MAX(sales!J20:J26)</f>
        <v/>
      </c>
      <c r="D9" s="5">
        <f>"$"&amp;TEXT(C9,"#,##0.00")&amp;" per SF"</f>
        <v/>
      </c>
      <c r="E9" s="12" t="inlineStr">
        <is>
          <t>Indicated high $/SF (adj.)</t>
        </is>
      </c>
    </row>
    <row r="10" ht="15" customHeight="1" s="160">
      <c r="B10" s="11" t="inlineStr">
        <is>
          <t>SCA_ADJ_UNIT_MEDIAN</t>
        </is>
      </c>
      <c r="C10" s="4">
        <f>MEDIAN(sales!J20:J26)</f>
        <v/>
      </c>
      <c r="D10" s="5">
        <f>"$"&amp;TEXT(C10,"#,##0.00")&amp;" per SF"</f>
        <v/>
      </c>
      <c r="E10" s="12" t="inlineStr">
        <is>
          <t>Indicated median $/SF (adj.)</t>
        </is>
      </c>
    </row>
    <row r="11" ht="15" customHeight="1" s="160">
      <c r="B11" s="211" t="inlineStr">
        <is>
          <t>Report Placeholders</t>
        </is>
      </c>
    </row>
    <row r="12" ht="15" customHeight="1" s="160">
      <c r="B12" s="2" t="inlineStr">
        <is>
          <t>Placeholder</t>
        </is>
      </c>
      <c r="C12" s="2" t="inlineStr">
        <is>
          <t>Raw Value</t>
        </is>
      </c>
      <c r="D12" s="2" t="inlineStr">
        <is>
          <t>Report Format (→ Word)</t>
        </is>
      </c>
      <c r="E12" s="2" t="inlineStr">
        <is>
          <t>Notes</t>
        </is>
      </c>
    </row>
    <row r="13" ht="15" customHeight="1" s="160">
      <c r="B13" s="11" t="inlineStr">
        <is>
          <t>SCA_CONCLUDED_PSF</t>
        </is>
      </c>
      <c r="C13" s="4">
        <f>sales!C56</f>
        <v/>
      </c>
      <c r="D13" s="5">
        <f>"$"&amp;TEXT(C13,"#,##0.00")&amp;" per SF"</f>
        <v/>
      </c>
      <c r="E13" s="12" t="inlineStr">
        <is>
          <t>Concluded $/SF → multiply by subject GBA</t>
        </is>
      </c>
    </row>
    <row r="14" ht="15" customHeight="1" s="160">
      <c r="B14" s="11" t="inlineStr">
        <is>
          <t>SCA_VALUE</t>
        </is>
      </c>
      <c r="C14" s="8">
        <f>sales!D56</f>
        <v/>
      </c>
      <c r="D14" s="5">
        <f>"$"&amp;TEXT(C14,"#,##0")</f>
        <v/>
      </c>
      <c r="E14" s="12" t="inlineStr">
        <is>
          <t>← Round to nearest $25,000 before reporting</t>
        </is>
      </c>
    </row>
    <row r="15" ht="15" customHeight="1" s="160">
      <c r="B15" s="212" t="inlineStr">
        <is>
          <t>SCA_ADJ_UNIT_MEAN</t>
        </is>
      </c>
      <c r="C15" s="212">
        <f>AVERAGE(sales!J20:J26)</f>
        <v/>
      </c>
      <c r="D15" s="212">
        <f>"$"&amp;TEXT(C15,"#,##0.00")&amp;" per SF"</f>
        <v/>
      </c>
      <c r="E15" s="212" t="inlineStr">
        <is>
          <t>Adj. mean $/SF</t>
        </is>
      </c>
    </row>
    <row r="16" ht="15" customHeight="1" s="160">
      <c r="B16" s="212" t="inlineStr">
        <is>
          <t>SCA_COMP_UNIT_MEAN</t>
        </is>
      </c>
      <c r="C16" s="212">
        <f>AVERAGE(sales!G9:G15)</f>
        <v/>
      </c>
      <c r="D16" s="212">
        <f>"$"&amp;TEXT(C16,"#,##0.00")&amp;" per SF"</f>
        <v/>
      </c>
      <c r="E16" s="212" t="inlineStr">
        <is>
          <t>Unadj. mean $/SF</t>
        </is>
      </c>
    </row>
    <row r="17" ht="15" customHeight="1" s="160">
      <c r="B17" s="212" t="inlineStr">
        <is>
          <t>SCA_COMP_SIZE_LOW</t>
        </is>
      </c>
      <c r="C17" s="212">
        <f>MIN(sales!F9:F15)</f>
        <v/>
      </c>
      <c r="D17" s="212">
        <f>TEXT(C17,"#,##0")&amp;" SF"</f>
        <v/>
      </c>
      <c r="E17" s="212" t="inlineStr">
        <is>
          <t>Comp size low SF</t>
        </is>
      </c>
    </row>
    <row r="18" ht="15" customHeight="1" s="160">
      <c r="B18" s="212" t="inlineStr">
        <is>
          <t>SCA_COMP_SIZE_HIGH</t>
        </is>
      </c>
      <c r="C18" s="212">
        <f>MAX(sales!F9:F15)</f>
        <v/>
      </c>
      <c r="D18" s="212">
        <f>TEXT(C18,"#,##0")&amp;" SF"</f>
        <v/>
      </c>
      <c r="E18" s="212" t="inlineStr">
        <is>
          <t>Comp size high SF</t>
        </is>
      </c>
    </row>
    <row r="19" ht="15" customHeight="1" s="160">
      <c r="B19" s="212" t="inlineStr">
        <is>
          <t>SCA_COMP_SIZE_MEAN</t>
        </is>
      </c>
      <c r="C19" s="212">
        <f>AVERAGE(sales!F9:F15)</f>
        <v/>
      </c>
      <c r="D19" s="212">
        <f>TEXT(C19,"#,##0")&amp;" SF"</f>
        <v/>
      </c>
      <c r="E19" s="212" t="inlineStr">
        <is>
          <t>Comp size mean SF</t>
        </is>
      </c>
    </row>
    <row r="20" ht="15" customHeight="1" s="160">
      <c r="B20" s="212" t="inlineStr">
        <is>
          <t>SCA_COMP_SIZE_MEDIAN</t>
        </is>
      </c>
      <c r="C20" s="212">
        <f>MEDIAN(sales!F9:F15)</f>
        <v/>
      </c>
      <c r="D20" s="212">
        <f>TEXT(C20,"#,##0")&amp;" SF"</f>
        <v/>
      </c>
      <c r="E20" s="212" t="inlineStr">
        <is>
          <t>Comp size median SF</t>
        </is>
      </c>
    </row>
    <row r="21" ht="15" customHeight="1" s="160">
      <c r="B21" s="213" t="inlineStr">
        <is>
          <t>SCA_ADJ_NARROW_LOW</t>
        </is>
      </c>
      <c r="C21" s="213" t="n"/>
      <c r="D21" s="213">
        <f>"$"&amp;TEXT(C21,"#,##0.00")&amp;" per SF"</f>
        <v/>
      </c>
      <c r="E21" s="213" t="inlineStr">
        <is>
          <t>Narrow range low — enter manually</t>
        </is>
      </c>
    </row>
    <row r="22" ht="15" customHeight="1" s="160">
      <c r="B22" s="213" t="inlineStr">
        <is>
          <t>SCA_ADJ_NARROW_HIGH</t>
        </is>
      </c>
      <c r="C22" s="213" t="n"/>
      <c r="D22" s="213">
        <f>"$"&amp;TEXT(C22,"#,##0.00")&amp;" per SF"</f>
        <v/>
      </c>
      <c r="E22" s="213" t="inlineStr">
        <is>
          <t>Narrow range high — enter manually</t>
        </is>
      </c>
    </row>
    <row r="23" ht="15" customHeight="1" s="160">
      <c r="B23" s="213" t="inlineStr">
        <is>
          <t>SCA_ADJ_NARROW_MEAN</t>
        </is>
      </c>
      <c r="C23" s="213" t="n"/>
      <c r="D23" s="213">
        <f>"$"&amp;TEXT(C23,"#,##0.00")&amp;" per SF"</f>
        <v/>
      </c>
      <c r="E23" s="213" t="inlineStr">
        <is>
          <t>Narrow range mean — enter manually</t>
        </is>
      </c>
    </row>
    <row r="24" ht="15" customHeight="1" s="160">
      <c r="B24" s="213" t="inlineStr">
        <is>
          <t>SCA_ADJ_NARROW_MEDIAN</t>
        </is>
      </c>
      <c r="C24" s="213" t="n"/>
      <c r="D24" s="213">
        <f>"$"&amp;TEXT(C24,"#,##0.00")&amp;" per SF"</f>
        <v/>
      </c>
      <c r="E24" s="213" t="inlineStr">
        <is>
          <t>Narrow range median — enter manually</t>
        </is>
      </c>
    </row>
    <row r="25" ht="15" customHeight="1" s="160">
      <c r="B25" s="213" t="inlineStr">
        <is>
          <t>SCA_ADJ_RELEVANT_MEAN</t>
        </is>
      </c>
      <c r="C25" s="213" t="n"/>
      <c r="D25" s="213">
        <f>"$"&amp;TEXT(C25,"#,##0.00")&amp;" per SF"</f>
        <v/>
      </c>
      <c r="E25" s="213" t="inlineStr">
        <is>
          <t>Most-relevant comps mean — enter manually</t>
        </is>
      </c>
    </row>
    <row r="26" ht="15" customHeight="1" s="160">
      <c r="B26" s="213" t="inlineStr">
        <is>
          <t>SCA_ADJ_RELEVANT_MEDIAN</t>
        </is>
      </c>
      <c r="C26" s="213" t="n"/>
      <c r="D26" s="213">
        <f>"$"&amp;TEXT(C26,"#,##0.00")&amp;" per SF"</f>
        <v/>
      </c>
      <c r="E26" s="213" t="inlineStr">
        <is>
          <t>Most-relevant comps median — enter manually</t>
        </is>
      </c>
    </row>
    <row r="27" ht="15" customHeight="1" s="160">
      <c r="B27" s="213" t="inlineStr">
        <is>
          <t>SCA_QUAL_CONCLUSION</t>
        </is>
      </c>
      <c r="C27" s="213" t="n"/>
      <c r="D27" s="213">
        <f>IF(C27="","",C27)</f>
        <v/>
      </c>
      <c r="E27" s="213" t="inlineStr">
        <is>
          <t>Qualitative conclusion text — enter manually</t>
        </is>
      </c>
    </row>
    <row r="28" ht="15" customHeight="1" s="160"/>
    <row r="29" ht="15" customHeight="1" s="160">
      <c r="B29" s="159" t="inlineStr">
        <is>
          <t>OUTPUTS — CAP RATE ANALYSIS</t>
        </is>
      </c>
    </row>
    <row r="30" ht="15" customHeight="1" s="160">
      <c r="B30" s="2" t="inlineStr">
        <is>
          <t>Placeholder</t>
        </is>
      </c>
      <c r="C30" s="2" t="inlineStr">
        <is>
          <t>Raw Value</t>
        </is>
      </c>
      <c r="D30" s="2" t="inlineStr">
        <is>
          <t>Report Format (→ Word)</t>
        </is>
      </c>
      <c r="E30" s="2" t="inlineStr">
        <is>
          <t>Notes</t>
        </is>
      </c>
    </row>
    <row r="31" ht="15" customHeight="1" s="160">
      <c r="B31" s="170" t="inlineStr">
        <is>
          <t>Indicated Rate</t>
        </is>
      </c>
    </row>
    <row r="32" ht="15" customHeight="1" s="160">
      <c r="B32" s="212" t="inlineStr">
        <is>
          <t>CAP_RATE_METHOD1</t>
        </is>
      </c>
      <c r="C32" s="214">
        <f>IFERROR(AVERAGE(cap_rates!F4:F7),"")</f>
        <v/>
      </c>
      <c r="D32" s="212">
        <f>TEXT(C32,"0.0%")</f>
        <v/>
      </c>
      <c r="E32" s="212" t="inlineStr">
        <is>
          <t>Implied from comp sales</t>
        </is>
      </c>
    </row>
    <row r="33" ht="15" customHeight="1" s="160">
      <c r="B33" s="170" t="inlineStr">
        <is>
          <t>Selected Rate (Report Placeholder)</t>
        </is>
      </c>
    </row>
    <row r="34" ht="15" customHeight="1" s="160">
      <c r="B34" s="2" t="inlineStr">
        <is>
          <t>Placeholder</t>
        </is>
      </c>
      <c r="C34" s="2" t="inlineStr">
        <is>
          <t>Raw Value</t>
        </is>
      </c>
      <c r="D34" s="2" t="inlineStr">
        <is>
          <t>Report Format (→ Word)</t>
        </is>
      </c>
      <c r="E34" s="2" t="inlineStr">
        <is>
          <t>Notes</t>
        </is>
      </c>
    </row>
    <row r="35" ht="15" customHeight="1" s="160">
      <c r="B35" s="212" t="inlineStr">
        <is>
          <t>CAP_RATE</t>
        </is>
      </c>
      <c r="C35" s="215">
        <f>income_summary!C19</f>
        <v/>
      </c>
      <c r="D35" s="212">
        <f>TEXT(C35,"0.0%")</f>
        <v/>
      </c>
      <c r="E35" s="212" t="inlineStr">
        <is>
          <t>← Set cap rate in income_summary tab (C19)</t>
        </is>
      </c>
    </row>
    <row r="36" ht="19.5" customHeight="1" s="160"/>
    <row r="37" ht="30" customHeight="1" s="160"/>
    <row r="38" ht="15" customHeight="1" s="160">
      <c r="B38" s="159" t="inlineStr">
        <is>
          <t>PER-COMP DATA — for comp page automation</t>
        </is>
      </c>
    </row>
    <row r="39" ht="15" customHeight="1" s="160">
      <c r="B39" s="14" t="inlineStr">
        <is>
          <t>Python iterates these rows (one per comp). Add/remove rows as comps change.</t>
        </is>
      </c>
    </row>
    <row r="40" ht="15" customHeight="1" s="160">
      <c r="B40" s="2" t="inlineStr">
        <is>
          <t>Comp No.</t>
        </is>
      </c>
      <c r="C40" s="2" t="inlineStr">
        <is>
          <t>Sale Date</t>
        </is>
      </c>
      <c r="D40" s="2" t="inlineStr">
        <is>
          <t>Location</t>
        </is>
      </c>
      <c r="E40" s="2" t="inlineStr">
        <is>
          <t>Sale Price</t>
        </is>
      </c>
      <c r="F40" s="2" t="inlineStr">
        <is>
          <t>GBA (SF)</t>
        </is>
      </c>
      <c r="G40" s="2" t="inlineStr">
        <is>
          <t>$/SF</t>
        </is>
      </c>
      <c r="H40" s="2" t="inlineStr">
        <is>
          <t>Market Adj.</t>
        </is>
      </c>
      <c r="I40" s="2" t="inlineStr">
        <is>
          <t>Size Adj.</t>
        </is>
      </c>
      <c r="J40" s="2" t="inlineStr">
        <is>
          <t>Location Adj.</t>
        </is>
      </c>
      <c r="K40" s="2" t="inlineStr">
        <is>
          <t>Net Adj.</t>
        </is>
      </c>
      <c r="L40" s="2" t="inlineStr">
        <is>
          <t>Indicated $/SF</t>
        </is>
      </c>
    </row>
    <row r="41" ht="15" customHeight="1" s="160">
      <c r="B41" s="5">
        <f>sales!B9</f>
        <v/>
      </c>
      <c r="C41" s="15">
        <f>sales!C9</f>
        <v/>
      </c>
      <c r="D41" s="5">
        <f>sales!D9</f>
        <v/>
      </c>
      <c r="E41" s="8">
        <f>sales!E9</f>
        <v/>
      </c>
      <c r="F41" s="6">
        <f>sales!F9</f>
        <v/>
      </c>
      <c r="G41" s="4">
        <f>sales!G9</f>
        <v/>
      </c>
      <c r="H41" s="7">
        <f>sales!D20</f>
        <v/>
      </c>
      <c r="I41" s="7">
        <f>sales!G20</f>
        <v/>
      </c>
      <c r="J41" s="7">
        <f>sales!H20</f>
        <v/>
      </c>
      <c r="K41" s="7">
        <f>sales!I20</f>
        <v/>
      </c>
      <c r="L41" s="4">
        <f>sales!J20</f>
        <v/>
      </c>
    </row>
    <row r="42" ht="15" customHeight="1" s="160">
      <c r="B42" s="5">
        <f>sales!B10</f>
        <v/>
      </c>
      <c r="C42" s="15">
        <f>sales!C10</f>
        <v/>
      </c>
      <c r="D42" s="5">
        <f>sales!D10</f>
        <v/>
      </c>
      <c r="E42" s="8">
        <f>sales!E10</f>
        <v/>
      </c>
      <c r="F42" s="6">
        <f>sales!F10</f>
        <v/>
      </c>
      <c r="G42" s="4">
        <f>sales!G10</f>
        <v/>
      </c>
      <c r="H42" s="7">
        <f>sales!D21</f>
        <v/>
      </c>
      <c r="I42" s="7">
        <f>sales!G21</f>
        <v/>
      </c>
      <c r="J42" s="7">
        <f>sales!H21</f>
        <v/>
      </c>
      <c r="K42" s="7">
        <f>sales!I21</f>
        <v/>
      </c>
      <c r="L42" s="4">
        <f>sales!J21</f>
        <v/>
      </c>
    </row>
    <row r="43" ht="15" customHeight="1" s="160">
      <c r="B43" s="5">
        <f>sales!B11</f>
        <v/>
      </c>
      <c r="C43" s="15">
        <f>sales!C11</f>
        <v/>
      </c>
      <c r="D43" s="5">
        <f>sales!D11</f>
        <v/>
      </c>
      <c r="E43" s="8">
        <f>sales!E11</f>
        <v/>
      </c>
      <c r="F43" s="6">
        <f>sales!F11</f>
        <v/>
      </c>
      <c r="G43" s="4">
        <f>sales!G11</f>
        <v/>
      </c>
      <c r="H43" s="7">
        <f>sales!D22</f>
        <v/>
      </c>
      <c r="I43" s="7">
        <f>sales!G22</f>
        <v/>
      </c>
      <c r="J43" s="7">
        <f>sales!H22</f>
        <v/>
      </c>
      <c r="K43" s="7">
        <f>sales!I22</f>
        <v/>
      </c>
      <c r="L43" s="4">
        <f>sales!J22</f>
        <v/>
      </c>
    </row>
    <row r="44" ht="15" customHeight="1" s="160">
      <c r="B44" s="5">
        <f>sales!B12</f>
        <v/>
      </c>
      <c r="C44" s="15">
        <f>sales!C12</f>
        <v/>
      </c>
      <c r="D44" s="5">
        <f>sales!D12</f>
        <v/>
      </c>
      <c r="E44" s="8">
        <f>sales!E12</f>
        <v/>
      </c>
      <c r="F44" s="6">
        <f>sales!F12</f>
        <v/>
      </c>
      <c r="G44" s="4">
        <f>sales!G12</f>
        <v/>
      </c>
      <c r="H44" s="7">
        <f>sales!D23</f>
        <v/>
      </c>
      <c r="I44" s="7">
        <f>sales!G23</f>
        <v/>
      </c>
      <c r="J44" s="7">
        <f>sales!H23</f>
        <v/>
      </c>
      <c r="K44" s="7">
        <f>sales!I23</f>
        <v/>
      </c>
      <c r="L44" s="4">
        <f>sales!J23</f>
        <v/>
      </c>
    </row>
    <row r="45">
      <c r="B45" s="5">
        <f>sales!B13</f>
        <v/>
      </c>
      <c r="C45" s="15">
        <f>sales!C13</f>
        <v/>
      </c>
      <c r="D45" s="5">
        <f>sales!D13</f>
        <v/>
      </c>
      <c r="E45" s="8">
        <f>sales!E13</f>
        <v/>
      </c>
      <c r="F45" s="6">
        <f>sales!F13</f>
        <v/>
      </c>
      <c r="G45" s="4">
        <f>sales!G13</f>
        <v/>
      </c>
      <c r="H45" s="7">
        <f>sales!D24</f>
        <v/>
      </c>
      <c r="I45" s="7">
        <f>sales!G24</f>
        <v/>
      </c>
      <c r="J45" s="7">
        <f>sales!H24</f>
        <v/>
      </c>
      <c r="K45" s="7">
        <f>sales!I24</f>
        <v/>
      </c>
      <c r="L45" s="4">
        <f>sales!J24</f>
        <v/>
      </c>
    </row>
    <row r="46" ht="19.5" customHeight="1" s="160">
      <c r="B46" s="5">
        <f>sales!B14</f>
        <v/>
      </c>
      <c r="C46" s="15">
        <f>sales!C14</f>
        <v/>
      </c>
      <c r="D46" s="5">
        <f>sales!D14</f>
        <v/>
      </c>
      <c r="E46" s="8">
        <f>sales!E14</f>
        <v/>
      </c>
      <c r="F46" s="6">
        <f>sales!F14</f>
        <v/>
      </c>
      <c r="G46" s="4">
        <f>sales!G14</f>
        <v/>
      </c>
      <c r="H46" s="7">
        <f>sales!D25</f>
        <v/>
      </c>
      <c r="I46" s="7">
        <f>sales!G25</f>
        <v/>
      </c>
      <c r="J46" s="7">
        <f>sales!H25</f>
        <v/>
      </c>
      <c r="K46" s="7">
        <f>sales!I25</f>
        <v/>
      </c>
      <c r="L46" s="4">
        <f>sales!J25</f>
        <v/>
      </c>
    </row>
    <row r="47" ht="15" customHeight="1" s="160">
      <c r="B47" s="5">
        <f>sales!B15</f>
        <v/>
      </c>
      <c r="C47" s="15">
        <f>sales!C15</f>
        <v/>
      </c>
      <c r="D47" s="5">
        <f>sales!D15</f>
        <v/>
      </c>
      <c r="E47" s="8">
        <f>sales!E15</f>
        <v/>
      </c>
      <c r="F47" s="6">
        <f>sales!F15</f>
        <v/>
      </c>
      <c r="G47" s="4">
        <f>sales!G15</f>
        <v/>
      </c>
      <c r="H47" s="7">
        <f>sales!D26</f>
        <v/>
      </c>
      <c r="I47" s="7">
        <f>sales!G26</f>
        <v/>
      </c>
      <c r="J47" s="7">
        <f>sales!H26</f>
        <v/>
      </c>
      <c r="K47" s="7">
        <f>sales!I26</f>
        <v/>
      </c>
      <c r="L47" s="4">
        <f>sales!J26</f>
        <v/>
      </c>
    </row>
    <row r="48" ht="15" customHeight="1" s="160"/>
    <row r="49">
      <c r="B49" s="16" t="inlineStr">
        <is>
          <t>OUTPUTS — INCOME APPROACH</t>
        </is>
      </c>
      <c r="C49" s="17" t="n"/>
      <c r="D49" s="17" t="n"/>
      <c r="E49" s="17" t="n"/>
      <c r="F49" s="17" t="n"/>
    </row>
    <row r="50" ht="19.5" customHeight="1" s="160">
      <c r="B50" s="18" t="inlineStr">
        <is>
          <t>Placeholder</t>
        </is>
      </c>
      <c r="C50" s="18" t="inlineStr">
        <is>
          <t>Raw Value</t>
        </is>
      </c>
      <c r="D50" s="18" t="inlineStr">
        <is>
          <t>Report Format (→ Word)</t>
        </is>
      </c>
      <c r="E50" s="18" t="inlineStr">
        <is>
          <t>Notes</t>
        </is>
      </c>
    </row>
    <row r="51" ht="15" customHeight="1" s="160">
      <c r="B51" s="212" t="inlineStr">
        <is>
          <t>PGI</t>
        </is>
      </c>
      <c r="C51" s="216">
        <f>income_summary!D5</f>
        <v/>
      </c>
      <c r="D51" s="212">
        <f>"$"&amp;TEXT(C51,"#,##0")</f>
        <v/>
      </c>
      <c r="E51" s="212" t="inlineStr">
        <is>
          <t>Potential gross income</t>
        </is>
      </c>
    </row>
    <row r="52" ht="15" customHeight="1" s="160">
      <c r="B52" s="212" t="inlineStr">
        <is>
          <t>PGI_MONTHLY</t>
        </is>
      </c>
      <c r="C52" s="212">
        <f>income_summary!D5/12</f>
        <v/>
      </c>
      <c r="D52" s="212">
        <f>"$"&amp;TEXT(C52,"#,##0")</f>
        <v/>
      </c>
      <c r="E52" s="212" t="inlineStr">
        <is>
          <t>PGI / 12</t>
        </is>
      </c>
    </row>
    <row r="53" ht="15" customHeight="1" s="160">
      <c r="B53" s="212" t="inlineStr">
        <is>
          <t>EGI</t>
        </is>
      </c>
      <c r="C53" s="216">
        <f>income_summary!D8</f>
        <v/>
      </c>
      <c r="D53" s="212">
        <f>"$"&amp;TEXT(C53,"#,##0")</f>
        <v/>
      </c>
      <c r="E53" s="212" t="inlineStr">
        <is>
          <t>Effective gross income</t>
        </is>
      </c>
    </row>
    <row r="54" ht="15" customHeight="1" s="160">
      <c r="B54" s="212" t="inlineStr">
        <is>
          <t>VACANCY_RATE</t>
        </is>
      </c>
      <c r="C54" s="214">
        <f>income_summary!C7</f>
        <v/>
      </c>
      <c r="D54" s="212">
        <f>TEXT(C54,"0.0%")</f>
        <v/>
      </c>
      <c r="E54" s="212" t="inlineStr">
        <is>
          <t>Applied vacancy rate</t>
        </is>
      </c>
    </row>
    <row r="55" ht="15" customHeight="1" s="160">
      <c r="B55" s="212" t="inlineStr">
        <is>
          <t>NOI</t>
        </is>
      </c>
      <c r="C55" s="216">
        <f>income_summary!D18</f>
        <v/>
      </c>
      <c r="D55" s="212">
        <f>"$"&amp;TEXT(C55,"#,##0")</f>
        <v/>
      </c>
      <c r="E55" s="212" t="inlineStr">
        <is>
          <t>Net operating income</t>
        </is>
      </c>
    </row>
    <row r="56" ht="15" customHeight="1" s="160">
      <c r="B56" s="212" t="inlineStr">
        <is>
          <t>IA_CAP_RATE</t>
        </is>
      </c>
      <c r="C56" s="215">
        <f>income_summary!C19</f>
        <v/>
      </c>
      <c r="D56" s="212">
        <f>TEXT(C56,"0.0%")</f>
        <v/>
      </c>
      <c r="E56" s="212" t="inlineStr">
        <is>
          <t>Applied cap rate</t>
        </is>
      </c>
    </row>
    <row r="57">
      <c r="B57" t="inlineStr">
        <is>
          <t>LOAN_RATE</t>
        </is>
      </c>
    </row>
    <row r="58" ht="15" customHeight="1" s="160">
      <c r="B58" s="212" t="inlineStr">
        <is>
          <t>IA_VALUE</t>
        </is>
      </c>
      <c r="C58" s="216">
        <f>income_summary!C21</f>
        <v/>
      </c>
      <c r="D58" s="212">
        <f>"$"&amp;TEXT(C58,"#,##0")</f>
        <v/>
      </c>
      <c r="E58" s="212" t="inlineStr">
        <is>
          <t>Income approach value</t>
        </is>
      </c>
    </row>
    <row r="59" ht="15" customHeight="1" s="160">
      <c r="B59" s="212" t="inlineStr">
        <is>
          <t>TOTAL_EXPENSES</t>
        </is>
      </c>
      <c r="C59" s="216">
        <f>income_summary!D17</f>
        <v/>
      </c>
      <c r="D59" s="212">
        <f>"$"&amp;TEXT(C59,"#,##0")</f>
        <v/>
      </c>
      <c r="E59" s="212" t="inlineStr">
        <is>
          <t>Total operating expenses</t>
        </is>
      </c>
    </row>
    <row r="61">
      <c r="B61" s="16" t="inlineStr">
        <is>
          <t>OUTPUTS — MARKET RENT / INCOME INPUTS</t>
        </is>
      </c>
      <c r="C61" s="17" t="n"/>
      <c r="D61" s="17" t="n"/>
      <c r="E61" s="17" t="n"/>
      <c r="F61" s="17" t="n"/>
    </row>
    <row r="62">
      <c r="B62" s="29" t="inlineStr">
        <is>
          <t>MARKET_RENT</t>
        </is>
      </c>
      <c r="C62" s="30">
        <f>pgi_calc!D5</f>
        <v/>
      </c>
      <c r="D62" s="28">
        <f>"$"&amp;TEXT(pgi_calc!D5,"#,##0.00")&amp;"/SF"</f>
        <v/>
      </c>
      <c r="E62" s="19" t="inlineStr">
        <is>
          <t>Market rent assumption (from pgi_calc tab)</t>
        </is>
      </c>
    </row>
    <row r="63">
      <c r="B63" s="29" t="inlineStr">
        <is>
          <t>MARKET_RENT_PSF</t>
        </is>
      </c>
      <c r="C63" s="30">
        <f>pgi_calc!D5</f>
        <v/>
      </c>
      <c r="D63" s="28">
        <f>TEXT(pgi_calc!D5,"$#,##0.00")</f>
        <v/>
      </c>
      <c r="E63" s="19" t="inlineStr">
        <is>
          <t>Market rent $/SF (numeric format)</t>
        </is>
      </c>
    </row>
    <row r="65">
      <c r="B65" s="16" t="inlineStr">
        <is>
          <t>OUTPUTS — COST APPROACH</t>
        </is>
      </c>
      <c r="C65" s="17" t="n"/>
      <c r="D65" s="17" t="n"/>
      <c r="E65" s="17" t="n"/>
      <c r="F65" s="17" t="n"/>
    </row>
    <row r="66" ht="15" customHeight="1" s="160">
      <c r="B66" s="212" t="inlineStr">
        <is>
          <t>LAND_VALUE_CONCLUDED</t>
        </is>
      </c>
      <c r="C66" s="216">
        <f>land!D26</f>
        <v/>
      </c>
      <c r="D66" s="212">
        <f>"$"&amp;TEXT(C66,"#,##0")</f>
        <v/>
      </c>
      <c r="E66" s="212" t="inlineStr">
        <is>
          <t>Land value concluded</t>
        </is>
      </c>
    </row>
    <row r="67" ht="15" customHeight="1" s="160">
      <c r="B67" s="212" t="inlineStr">
        <is>
          <t>CA_VALUE</t>
        </is>
      </c>
      <c r="C67" s="216">
        <f>cost!C68</f>
        <v/>
      </c>
      <c r="D67" s="212">
        <f>"$"&amp;TEXT(C67,"#,##0")</f>
        <v/>
      </c>
      <c r="E67" s="212" t="inlineStr">
        <is>
          <t>Cost approach rounded value</t>
        </is>
      </c>
    </row>
    <row r="68" ht="15" customHeight="1" s="160">
      <c r="B68" s="212" t="inlineStr">
        <is>
          <t>COST_APPROACH_VALUE_ROUNDED</t>
        </is>
      </c>
      <c r="C68" s="212">
        <f>cost!C68</f>
        <v/>
      </c>
      <c r="D68" s="212">
        <f>"$"&amp;TEXT(C68,"#,##0")</f>
        <v/>
      </c>
      <c r="E68" s="212">
        <f> CA_VALUE alias</f>
        <v/>
      </c>
    </row>
    <row r="69" ht="15" customHeight="1" s="160">
      <c r="B69" s="212" t="inlineStr">
        <is>
          <t>DEPRECIATED_BLDG_COST</t>
        </is>
      </c>
      <c r="C69" s="212">
        <f>cost!C56</f>
        <v/>
      </c>
      <c r="D69" s="212">
        <f>"$"&amp;TEXT(C69,"#,##0")</f>
        <v/>
      </c>
      <c r="E69" s="212" t="inlineStr">
        <is>
          <t>Depr. building cost</t>
        </is>
      </c>
    </row>
    <row r="70" ht="15" customHeight="1" s="160">
      <c r="B70" s="212" t="inlineStr">
        <is>
          <t>DEPRECIATED_SITE_IMP</t>
        </is>
      </c>
      <c r="C70" s="212">
        <f>cost!C61</f>
        <v/>
      </c>
      <c r="D70" s="212">
        <f>"$"&amp;TEXT(C70,"#,##0")</f>
        <v/>
      </c>
      <c r="E70" s="212" t="inlineStr">
        <is>
          <t>Depr. site improvements</t>
        </is>
      </c>
    </row>
    <row r="71" ht="15" customHeight="1" s="160">
      <c r="B71" s="212" t="inlineStr">
        <is>
          <t>SITE_IMP_COST_NEW</t>
        </is>
      </c>
      <c r="C71" s="212">
        <f>cost!C28</f>
        <v/>
      </c>
      <c r="D71" s="212">
        <f>"$"&amp;TEXT(C71,"#,##0")</f>
        <v/>
      </c>
      <c r="E71" s="212" t="inlineStr">
        <is>
          <t>Site improvements cost new</t>
        </is>
      </c>
    </row>
    <row r="72" ht="15" customHeight="1" s="160">
      <c r="B72" s="212" t="inlineStr">
        <is>
          <t>SHORT_LIVED_DEPRECIATION_TOTAL</t>
        </is>
      </c>
      <c r="C72" s="212">
        <f>cost!G20</f>
        <v/>
      </c>
      <c r="D72" s="212">
        <f>"$"&amp;TEXT(C72,"#,##0")</f>
        <v/>
      </c>
      <c r="E72" s="212" t="inlineStr">
        <is>
          <t>Short-lived items total depr.</t>
        </is>
      </c>
    </row>
    <row r="73" ht="15" customHeight="1" s="160">
      <c r="B73" s="212" t="inlineStr">
        <is>
          <t>SITE_IMPROVEMENT_DEPRECIATION_TOTAL</t>
        </is>
      </c>
      <c r="C73" s="212">
        <f>cost!G28</f>
        <v/>
      </c>
      <c r="D73" s="212">
        <f>"$"&amp;TEXT(C73,"#,##0")</f>
        <v/>
      </c>
      <c r="E73" s="212" t="inlineStr">
        <is>
          <t>Site imp. total depr.</t>
        </is>
      </c>
    </row>
    <row r="74">
      <c r="B74" t="inlineStr">
        <is>
          <t>DEVELOPER_PROFIT_RATE</t>
        </is>
      </c>
    </row>
    <row r="75">
      <c r="B75" t="inlineStr">
        <is>
          <t>DEVELOPER_PROFIT_AMOUNT</t>
        </is>
      </c>
    </row>
    <row r="76" ht="15" customHeight="1" s="160">
      <c r="B76" s="212" t="inlineStr">
        <is>
          <t>RCN_PSF</t>
        </is>
      </c>
      <c r="C76" s="217">
        <f>cost!C11</f>
        <v/>
      </c>
      <c r="D76" s="212">
        <f>"$"&amp;TEXT(C76,"#,##0.00")&amp;" per SF"</f>
        <v/>
      </c>
      <c r="E76" s="212" t="inlineStr">
        <is>
          <t>Reproduction cost/SF</t>
        </is>
      </c>
    </row>
    <row r="77" ht="15" customHeight="1" s="160">
      <c r="B77" s="213" t="inlineStr">
        <is>
          <t>MARSHALL_SECTION_REF</t>
        </is>
      </c>
      <c r="C77" s="213" t="n"/>
      <c r="D77" s="213">
        <f>IF(C77="","",C77)</f>
        <v/>
      </c>
      <c r="E77" s="213" t="inlineStr">
        <is>
          <t>Marshall section reference — enter manually</t>
        </is>
      </c>
    </row>
    <row r="78" ht="15" customHeight="1" s="160">
      <c r="B78" s="213" t="inlineStr">
        <is>
          <t>MARSHALL_SECTION_DESC</t>
        </is>
      </c>
      <c r="C78" s="213" t="n"/>
      <c r="D78" s="213">
        <f>IF(C78="","",C78)</f>
        <v/>
      </c>
      <c r="E78" s="213" t="inlineStr">
        <is>
          <t>Marshall section description — enter manually</t>
        </is>
      </c>
    </row>
    <row r="79" ht="15" customHeight="1" s="160">
      <c r="B79" s="213" t="inlineStr">
        <is>
          <t>MARSHALL_BASE_COST</t>
        </is>
      </c>
      <c r="C79" s="213" t="n"/>
      <c r="D79" s="213">
        <f>"$"&amp;TEXT(C79,"#,##0.00")&amp;" per SF"</f>
        <v/>
      </c>
      <c r="E79" s="213" t="inlineStr">
        <is>
          <t>Marshall base cost/SF — enter manually</t>
        </is>
      </c>
    </row>
    <row r="80" ht="15" customHeight="1" s="160">
      <c r="B80" s="213" t="inlineStr">
        <is>
          <t>MARSHALL_LOCAL_ADJ</t>
        </is>
      </c>
      <c r="C80" s="213" t="n"/>
      <c r="D80" s="213">
        <f>TEXT(C80,"0.00")&amp;"x"</f>
        <v/>
      </c>
      <c r="E80" s="213" t="inlineStr">
        <is>
          <t>Local adj. multiplier</t>
        </is>
      </c>
    </row>
    <row r="81" ht="15" customHeight="1" s="160">
      <c r="B81" s="213" t="inlineStr">
        <is>
          <t>MARSHALL_AREA_ADJ</t>
        </is>
      </c>
      <c r="C81" s="213" t="n"/>
      <c r="D81" s="213">
        <f>TEXT(C81,"0.00")&amp;"x"</f>
        <v/>
      </c>
      <c r="E81" s="213" t="inlineStr">
        <is>
          <t>Area adj. multiplier</t>
        </is>
      </c>
    </row>
    <row r="82" ht="15" customHeight="1" s="160">
      <c r="B82" s="213" t="inlineStr">
        <is>
          <t>MARSHALL_CURRENT_ADJ</t>
        </is>
      </c>
      <c r="C82" s="213" t="n"/>
      <c r="D82" s="213">
        <f>TEXT(C82,"0.00")&amp;"x"</f>
        <v/>
      </c>
      <c r="E82" s="213" t="inlineStr">
        <is>
          <t>Current conditions multiplier</t>
        </is>
      </c>
    </row>
    <row r="83" ht="15" customHeight="1" s="160">
      <c r="B83" s="212" t="inlineStr">
        <is>
          <t>RCN_TOTAL</t>
        </is>
      </c>
      <c r="C83" s="216">
        <f>cost!C12</f>
        <v/>
      </c>
      <c r="D83" s="212">
        <f>"$"&amp;TEXT(C83,"#,##0")</f>
        <v/>
      </c>
      <c r="E83" s="212" t="inlineStr">
        <is>
          <t>Total reproduction cost</t>
        </is>
      </c>
    </row>
    <row r="85" ht="19.5" customHeight="1" s="160">
      <c r="B85" s="218" t="inlineStr">
        <is>
          <t>OUTPUTS — LAND SALES COMPARISON (formula-driven)</t>
        </is>
      </c>
      <c r="C85" s="218" t="n"/>
      <c r="D85" s="218" t="n"/>
      <c r="E85" s="218" t="n"/>
      <c r="F85" s="218" t="n"/>
    </row>
    <row r="86" ht="30" customHeight="1" s="160">
      <c r="B86" s="219" t="inlineStr">
        <is>
          <t>Placeholder</t>
        </is>
      </c>
      <c r="C86" s="219" t="inlineStr">
        <is>
          <t>Raw Value</t>
        </is>
      </c>
      <c r="D86" s="219" t="inlineStr">
        <is>
          <t>Report Format (→ Word)</t>
        </is>
      </c>
      <c r="E86" s="219" t="inlineStr">
        <is>
          <t>Notes</t>
        </is>
      </c>
    </row>
    <row r="87" ht="15" customHeight="1" s="160">
      <c r="B87" s="212" t="inlineStr">
        <is>
          <t>LAND_VALUE_CONCLUDED</t>
        </is>
      </c>
      <c r="C87" s="212">
        <f>land!D26</f>
        <v/>
      </c>
      <c r="D87" s="212">
        <f>"$"&amp;TEXT(C87,"#,##0")</f>
        <v/>
      </c>
      <c r="E87" s="212" t="inlineStr">
        <is>
          <t>Concluded land value</t>
        </is>
      </c>
    </row>
    <row r="88" ht="15" customHeight="1" s="160">
      <c r="B88" s="212" t="inlineStr">
        <is>
          <t>LAND_SALE_LOW_UNIT</t>
        </is>
      </c>
      <c r="C88" s="212">
        <f>MIN(land!G5:G9)</f>
        <v/>
      </c>
      <c r="D88" s="212">
        <f>"$"&amp;TEXT(C88,"#,##0.00")&amp;" per SF"</f>
        <v/>
      </c>
      <c r="E88" s="212" t="inlineStr">
        <is>
          <t>Unadj. low $/SF land comps</t>
        </is>
      </c>
    </row>
    <row r="89" ht="15" customHeight="1" s="160">
      <c r="B89" s="212" t="inlineStr">
        <is>
          <t>LAND_SALE_HIGH_UNIT</t>
        </is>
      </c>
      <c r="C89" s="212">
        <f>MAX(land!G5:G9)</f>
        <v/>
      </c>
      <c r="D89" s="212">
        <f>"$"&amp;TEXT(C89,"#,##0.00")&amp;" per SF"</f>
        <v/>
      </c>
      <c r="E89" s="212" t="inlineStr">
        <is>
          <t>Unadj. high $/SF land comps</t>
        </is>
      </c>
    </row>
    <row r="90" ht="15" customHeight="1" s="160">
      <c r="B90" s="212" t="inlineStr">
        <is>
          <t>LAND_SALE_MEAN_UNIT</t>
        </is>
      </c>
      <c r="C90" s="212">
        <f>AVERAGE(land!G5:G9)</f>
        <v/>
      </c>
      <c r="D90" s="212">
        <f>"$"&amp;TEXT(C90,"#,##0.00")&amp;" per SF"</f>
        <v/>
      </c>
      <c r="E90" s="212" t="inlineStr">
        <is>
          <t>Unadj. mean $/SF land comps</t>
        </is>
      </c>
    </row>
    <row r="91" ht="15" customHeight="1" s="160">
      <c r="B91" s="212" t="inlineStr">
        <is>
          <t>LAND_ADJ_UNIT_LOW</t>
        </is>
      </c>
      <c r="C91" s="212">
        <f>MIN(land!J15:J19)</f>
        <v/>
      </c>
      <c r="D91" s="212">
        <f>"$"&amp;TEXT(C91,"#,##0.00")&amp;" per SF"</f>
        <v/>
      </c>
      <c r="E91" s="212" t="inlineStr">
        <is>
          <t>Adj. low $/SF land comps</t>
        </is>
      </c>
    </row>
    <row r="92" ht="15" customHeight="1" s="160">
      <c r="B92" s="212" t="inlineStr">
        <is>
          <t>LAND_ADJ_UNIT_HIGH</t>
        </is>
      </c>
      <c r="C92" s="212">
        <f>MAX(land!J15:J19)</f>
        <v/>
      </c>
      <c r="D92" s="212">
        <f>"$"&amp;TEXT(C92,"#,##0.00")&amp;" per SF"</f>
        <v/>
      </c>
      <c r="E92" s="212" t="inlineStr">
        <is>
          <t>Adj. high $/SF land comps</t>
        </is>
      </c>
    </row>
    <row r="93" ht="15" customHeight="1" s="160">
      <c r="B93" s="212" t="inlineStr">
        <is>
          <t>LAND_ADJ_UNIT_MEAN</t>
        </is>
      </c>
      <c r="C93" s="212">
        <f>AVERAGE(land!J15:J19)</f>
        <v/>
      </c>
      <c r="D93" s="212">
        <f>"$"&amp;TEXT(C93,"#,##0.00")&amp;" per SF"</f>
        <v/>
      </c>
      <c r="E93" s="212" t="inlineStr">
        <is>
          <t>Adj. mean $/SF land comps</t>
        </is>
      </c>
    </row>
    <row r="94" ht="15" customHeight="1" s="160">
      <c r="B94" s="212" t="inlineStr">
        <is>
          <t>LAND_ADJ_UNIT_MEDIAN</t>
        </is>
      </c>
      <c r="C94" s="212">
        <f>MEDIAN(land!J15:J19)</f>
        <v/>
      </c>
      <c r="D94" s="212">
        <f>"$"&amp;TEXT(C94,"#,##0.00")&amp;" per SF"</f>
        <v/>
      </c>
      <c r="E94" s="212" t="inlineStr">
        <is>
          <t>Adj. median $/SF land comps</t>
        </is>
      </c>
    </row>
    <row r="95" ht="15" customHeight="1" s="160">
      <c r="B95" s="212" t="inlineStr">
        <is>
          <t>LAND_COMP_SIZE_LOW</t>
        </is>
      </c>
      <c r="C95" s="212">
        <f>MIN(land!F5:F9)</f>
        <v/>
      </c>
      <c r="D95" s="212">
        <f>TEXT(C95,"#,##0")&amp;" SF"</f>
        <v/>
      </c>
      <c r="E95" s="212" t="inlineStr">
        <is>
          <t>Land comp size low SF</t>
        </is>
      </c>
    </row>
    <row r="96" ht="15" customHeight="1" s="160">
      <c r="B96" s="212" t="inlineStr">
        <is>
          <t>LAND_COMP_SIZE_HIGH</t>
        </is>
      </c>
      <c r="C96" s="212">
        <f>MAX(land!F5:F9)</f>
        <v/>
      </c>
      <c r="D96" s="212">
        <f>TEXT(C96,"#,##0")&amp;" SF"</f>
        <v/>
      </c>
      <c r="E96" s="212" t="inlineStr">
        <is>
          <t>Land comp size high SF</t>
        </is>
      </c>
    </row>
    <row r="97" ht="15" customHeight="1" s="160">
      <c r="B97" s="212" t="inlineStr">
        <is>
          <t>LAND_COMP_SIZE_MEAN</t>
        </is>
      </c>
      <c r="C97" s="212">
        <f>AVERAGE(land!F5:F9)</f>
        <v/>
      </c>
      <c r="D97" s="212">
        <f>TEXT(C97,"#,##0")&amp;" SF"</f>
        <v/>
      </c>
      <c r="E97" s="212" t="inlineStr">
        <is>
          <t>Land comp size mean SF</t>
        </is>
      </c>
    </row>
    <row r="98" ht="15" customHeight="1" s="160">
      <c r="B98" s="212" t="inlineStr">
        <is>
          <t>LAND_COMP_SIZE_MEDIAN</t>
        </is>
      </c>
      <c r="C98" s="212">
        <f>MEDIAN(land!F5:F9)</f>
        <v/>
      </c>
      <c r="D98" s="212">
        <f>TEXT(C98,"#,##0")&amp;" SF"</f>
        <v/>
      </c>
      <c r="E98" s="212" t="inlineStr">
        <is>
          <t>Land comp size median SF</t>
        </is>
      </c>
    </row>
    <row r="100" ht="19.5" customHeight="1" s="160">
      <c r="B100" s="218" t="inlineStr">
        <is>
          <t>OUTPUTS — LAND CONCLUSION (Appraiser Input)</t>
        </is>
      </c>
      <c r="C100" s="218" t="n"/>
      <c r="D100" s="218" t="n"/>
      <c r="E100" s="218" t="n"/>
      <c r="F100" s="218" t="n"/>
    </row>
    <row r="101" ht="30" customHeight="1" s="160">
      <c r="B101" s="219" t="inlineStr">
        <is>
          <t>Placeholder</t>
        </is>
      </c>
      <c r="C101" s="219" t="inlineStr">
        <is>
          <t>Raw Value</t>
        </is>
      </c>
      <c r="D101" s="219" t="inlineStr">
        <is>
          <t>Report Format (→ Word)</t>
        </is>
      </c>
      <c r="E101" s="219" t="inlineStr">
        <is>
          <t>Notes</t>
        </is>
      </c>
    </row>
    <row r="102" ht="15" customHeight="1" s="160">
      <c r="B102" s="213" t="inlineStr">
        <is>
          <t>LAND_UNIT_OF_COMPARISON</t>
        </is>
      </c>
      <c r="C102" s="213" t="n"/>
      <c r="D102" s="213">
        <f>IF(C102="","",C102)</f>
        <v/>
      </c>
      <c r="E102" s="213" t="inlineStr">
        <is>
          <t>SF or AC — enter manually</t>
        </is>
      </c>
    </row>
    <row r="103" ht="15" customHeight="1" s="160">
      <c r="B103" s="213" t="inlineStr">
        <is>
          <t>LAND_PRIMARY_SALES</t>
        </is>
      </c>
      <c r="C103" s="213" t="n"/>
      <c r="D103" s="213">
        <f>IF(C103="","",C103)</f>
        <v/>
      </c>
      <c r="E103" s="213" t="inlineStr">
        <is>
          <t>Number of primary sales used — enter manually</t>
        </is>
      </c>
    </row>
    <row r="104" ht="15" customHeight="1" s="160">
      <c r="B104" s="213" t="inlineStr">
        <is>
          <t>LAND_ADJ_RELEVANT_MEAN</t>
        </is>
      </c>
      <c r="C104" s="213" t="n"/>
      <c r="D104" s="213">
        <f>"$"&amp;TEXT(C104,"#,##0.00")&amp;" per SF"</f>
        <v/>
      </c>
      <c r="E104" s="213" t="inlineStr">
        <is>
          <t>Most relevant comps mean — enter manually</t>
        </is>
      </c>
    </row>
    <row r="105" ht="15" customHeight="1" s="160">
      <c r="B105" s="213" t="inlineStr">
        <is>
          <t>LAND_ADJ_RELEVANT_MEDIAN</t>
        </is>
      </c>
      <c r="C105" s="213" t="n"/>
      <c r="D105" s="213">
        <f>"$"&amp;TEXT(C105,"#,##0.00")&amp;" per SF"</f>
        <v/>
      </c>
      <c r="E105" s="213" t="inlineStr">
        <is>
          <t>Most relevant comps median — enter manually</t>
        </is>
      </c>
    </row>
    <row r="106" ht="15" customHeight="1" s="160">
      <c r="B106" s="213" t="inlineStr">
        <is>
          <t>LAND_CONCLUDED_UNIT</t>
        </is>
      </c>
      <c r="C106" s="213" t="n"/>
      <c r="D106" s="213">
        <f>"$"&amp;TEXT(C106,"#,##0.00")&amp;" per SF"</f>
        <v/>
      </c>
      <c r="E106" s="213" t="inlineStr">
        <is>
          <t>Concluded $/SF or $/AC — enter manually</t>
        </is>
      </c>
    </row>
    <row r="107" ht="15" customHeight="1" s="160">
      <c r="B107" s="213" t="inlineStr">
        <is>
          <t>LAND_CONCLUDED_RANGE</t>
        </is>
      </c>
      <c r="C107" s="213" t="n"/>
      <c r="D107" s="213">
        <f>IF(C107="","",C107)</f>
        <v/>
      </c>
      <c r="E107" s="213" t="inlineStr">
        <is>
          <t>e.g. "$12.00 to $15.00 per SF" — enter manually</t>
        </is>
      </c>
    </row>
    <row r="109" ht="19.5" customHeight="1" s="160">
      <c r="B109" s="218" t="inlineStr">
        <is>
          <t>OUTPUTS — RECONCILIATION FLAGS &amp; WEIGHTS</t>
        </is>
      </c>
      <c r="C109" s="218" t="n"/>
      <c r="D109" s="218" t="n"/>
      <c r="E109" s="218" t="n"/>
      <c r="F109" s="218" t="n"/>
    </row>
    <row r="110" ht="30" customHeight="1" s="160">
      <c r="B110" s="219" t="inlineStr">
        <is>
          <t>Placeholder</t>
        </is>
      </c>
      <c r="C110" s="219" t="inlineStr">
        <is>
          <t>Raw Value</t>
        </is>
      </c>
      <c r="D110" s="219" t="inlineStr">
        <is>
          <t>Report Format (→ Word)</t>
        </is>
      </c>
      <c r="E110" s="219" t="inlineStr">
        <is>
          <t>Notes</t>
        </is>
      </c>
    </row>
    <row r="111" ht="15" customHeight="1" s="160">
      <c r="B111" s="212" t="inlineStr">
        <is>
          <t>SCA_DEVELOPED</t>
        </is>
      </c>
      <c r="C111" s="212" t="inlineStr">
        <is>
          <t>Yes</t>
        </is>
      </c>
      <c r="D111" s="212">
        <f>IF(C111="","",C111)</f>
        <v/>
      </c>
      <c r="E111" s="212" t="inlineStr">
        <is>
          <t>Yes or No</t>
        </is>
      </c>
    </row>
    <row r="112" ht="15" customHeight="1" s="160">
      <c r="B112" s="212" t="inlineStr">
        <is>
          <t>SCA_DEVELOPED_FULL</t>
        </is>
      </c>
      <c r="C112" s="212" t="n"/>
      <c r="D112" s="212">
        <f>IF(C111="Yes","was developed","was not developed")</f>
        <v/>
      </c>
      <c r="E112" s="212">
        <f>IF(C above="Yes","was developed","was not developed")</f>
        <v/>
      </c>
    </row>
    <row r="113" ht="15" customHeight="1" s="160">
      <c r="B113" s="213" t="inlineStr">
        <is>
          <t>SCA_WEIGHT</t>
        </is>
      </c>
      <c r="C113" s="213" t="n"/>
      <c r="D113" s="213">
        <f>TEXT(C113,"0.0%")</f>
        <v/>
      </c>
      <c r="E113" s="213" t="inlineStr">
        <is>
          <t>Reconciliation weight (e.g. 0.60)</t>
        </is>
      </c>
    </row>
    <row r="114" ht="15" customHeight="1" s="160">
      <c r="B114" s="212" t="inlineStr">
        <is>
          <t>IA_DEVELOPED</t>
        </is>
      </c>
      <c r="C114" s="212" t="inlineStr">
        <is>
          <t>Yes</t>
        </is>
      </c>
      <c r="D114" s="212">
        <f>IF(C114="","",C114)</f>
        <v/>
      </c>
      <c r="E114" s="212" t="inlineStr">
        <is>
          <t>Yes or No</t>
        </is>
      </c>
    </row>
    <row r="115" ht="15" customHeight="1" s="160">
      <c r="B115" s="213" t="inlineStr">
        <is>
          <t>IA_WEIGHT</t>
        </is>
      </c>
      <c r="C115" s="213" t="n"/>
      <c r="D115" s="213">
        <f>TEXT(C115,"0.0%")</f>
        <v/>
      </c>
      <c r="E115" s="213" t="inlineStr">
        <is>
          <t>Reconciliation weight (e.g. 0.40)</t>
        </is>
      </c>
    </row>
    <row r="116" ht="15" customHeight="1" s="160">
      <c r="B116" s="212" t="inlineStr">
        <is>
          <t>CA_DEVELOPED</t>
        </is>
      </c>
      <c r="C116" s="212" t="inlineStr">
        <is>
          <t>No</t>
        </is>
      </c>
      <c r="D116" s="212">
        <f>IF(C116="","",C116)</f>
        <v/>
      </c>
      <c r="E116" s="212" t="inlineStr">
        <is>
          <t>Yes or No</t>
        </is>
      </c>
    </row>
    <row r="117" ht="15" customHeight="1" s="160">
      <c r="B117" s="212" t="inlineStr">
        <is>
          <t>CA_DEVELOPED_FULL</t>
        </is>
      </c>
      <c r="C117" s="212" t="n"/>
      <c r="D117" s="212">
        <f>IF(C116="Yes","was developed","was not developed")</f>
        <v/>
      </c>
      <c r="E117" s="212" t="inlineStr">
        <is>
          <t>Derived from CA_DEVELOPED</t>
        </is>
      </c>
    </row>
    <row r="118" ht="15" customHeight="1" s="160">
      <c r="B118" s="213" t="inlineStr">
        <is>
          <t>CA_WEIGHT</t>
        </is>
      </c>
      <c r="C118" s="213" t="n"/>
      <c r="D118" s="213">
        <f>TEXT(C118,"0.0%")</f>
        <v/>
      </c>
      <c r="E118" s="213" t="inlineStr">
        <is>
          <t>Reconciliation weight (e.g. 0.00)</t>
        </is>
      </c>
    </row>
    <row r="119" ht="19.5" customHeight="1" s="160">
      <c r="B119" s="220" t="inlineStr">
        <is>
          <t>VALUE CONCLUSION</t>
        </is>
      </c>
    </row>
    <row r="121">
      <c r="B121" s="221" t="inlineStr">
        <is>
          <t>IA_DEVELOPED_FULL</t>
        </is>
      </c>
      <c r="C121" s="221">
        <f>IF(C114="Yes","was developed","was not developed")</f>
        <v/>
      </c>
      <c r="D121" s="221">
        <f>IF(C114="Yes","was developed","was not developed")</f>
        <v/>
      </c>
      <c r="E121" s="221" t="inlineStr">
        <is>
          <t>Derived from IA_DEVELOPED (C114)</t>
        </is>
      </c>
    </row>
    <row r="122">
      <c r="B122" s="221" t="inlineStr">
        <is>
          <t>VALUE_CONCLUSION</t>
        </is>
      </c>
      <c r="C122" s="221">
        <f>ROUND((IFERROR(C14*C113,0)+IFERROR(C58*C115,0)+IFERROR(C67*C118,0))/25000,0)*25000</f>
        <v/>
      </c>
      <c r="D122" s="221">
        <f>TEXT(C122,"$#,##0")</f>
        <v/>
      </c>
      <c r="E122" s="221" t="inlineStr">
        <is>
          <t>SCA*weight + IA*weight + CA*weight, rounded $25k</t>
        </is>
      </c>
    </row>
    <row r="123">
      <c r="B123" s="221" t="inlineStr">
        <is>
          <t>VALUE_WORDS</t>
        </is>
      </c>
      <c r="C123" s="222" t="inlineStr"/>
      <c r="D123" s="221">
        <f>IF(C123="","",C123)</f>
        <v/>
      </c>
      <c r="E123" s="223" t="inlineStr">
        <is>
          <t>e.g. 'one million four hundred thousand'</t>
        </is>
      </c>
    </row>
    <row r="124">
      <c r="B124" s="221" t="inlineStr">
        <is>
          <t>VALUE_WORDS_FORMAL</t>
        </is>
      </c>
      <c r="C124" s="222" t="inlineStr"/>
      <c r="D124" s="221">
        <f>IF(C124="","",C124)</f>
        <v/>
      </c>
      <c r="E124" s="223" t="inlineStr">
        <is>
          <t>e.g. 'One Million Four Hundred Thousand Dollars ($1,400,000)'</t>
        </is>
      </c>
    </row>
    <row r="125">
      <c r="B125" s="221" t="inlineStr">
        <is>
          <t>DEVELOPED_APPROACHES</t>
        </is>
      </c>
      <c r="C125" s="221">
        <f>TRIM(IF(C111="Yes","Sales Comparison Approach","")&amp;IF(AND(C111="Yes",OR(C114="Yes",C116="Yes"))," and ","")&amp;IF(C114="Yes","Income Approach","")&amp;IF(AND(C114="Yes",C116="Yes")," and ","")&amp;IF(C116="Yes","Cost Approach",""))</f>
        <v/>
      </c>
      <c r="D125" s="221">
        <f>C125</f>
        <v/>
      </c>
      <c r="E125" s="221" t="inlineStr">
        <is>
          <t>Auto from flags</t>
        </is>
      </c>
    </row>
    <row r="126">
      <c r="B126" s="221" t="inlineStr">
        <is>
          <t>APPROACHES_LIST</t>
        </is>
      </c>
      <c r="C126" s="221">
        <f>TRIM(IF(C111="Yes","The Sales Comparison Approach","")&amp;IF(AND(C111="Yes",OR(C114="Yes",C116="Yes"))," and ","")&amp;IF(C114="Yes","the Income Approach","")&amp;IF(AND(C114="Yes",C116="Yes")," and ","")&amp;IF(C116="Yes","the Cost Approach","")&amp;" were developed.")</f>
        <v/>
      </c>
      <c r="D126" s="221">
        <f>C126</f>
        <v/>
      </c>
      <c r="E126" s="221" t="inlineStr">
        <is>
          <t>Full sentence for use in reconciliation</t>
        </is>
      </c>
    </row>
    <row r="127">
      <c r="B127" s="221" t="inlineStr">
        <is>
          <t>UNIT_OF_COMPARISON</t>
        </is>
      </c>
      <c r="C127" s="222" t="inlineStr">
        <is>
          <t>square foot</t>
        </is>
      </c>
      <c r="D127" s="221">
        <f>IF(C127="","",C127)</f>
        <v/>
      </c>
      <c r="E127" s="223" t="inlineStr">
        <is>
          <t>e.g. 'square foot' or 'unit'</t>
        </is>
      </c>
    </row>
    <row r="128" ht="19.5" customHeight="1" s="160">
      <c r="B128" s="220" t="inlineStr">
        <is>
          <t>INTAKE ALIASES</t>
        </is>
      </c>
    </row>
    <row r="129">
      <c r="B129" s="221" t="inlineStr">
        <is>
          <t>SITE_AREA_SF</t>
        </is>
      </c>
      <c r="C129" s="221">
        <f>Intake!B34</f>
        <v/>
      </c>
      <c r="D129" s="221">
        <f>TEXT(C129,"#,##0")</f>
        <v/>
      </c>
      <c r="E129" s="221">
        <f> Intake site area SF</f>
        <v/>
      </c>
    </row>
    <row r="130">
      <c r="B130" s="221" t="inlineStr">
        <is>
          <t>SITE_AREA_ACRES</t>
        </is>
      </c>
      <c r="C130" s="221">
        <f>Intake!B35</f>
        <v/>
      </c>
      <c r="D130" s="221">
        <f>TEXT(C130,"0.00")</f>
        <v/>
      </c>
      <c r="E130" s="221">
        <f> Intake site area acres</f>
        <v/>
      </c>
    </row>
    <row r="131">
      <c r="B131" s="221" t="inlineStr">
        <is>
          <t>LAND_AREA_ACRES</t>
        </is>
      </c>
      <c r="C131" s="221">
        <f>Intake!B35</f>
        <v/>
      </c>
      <c r="D131" s="221">
        <f>TEXT(C131,"0.00")</f>
        <v/>
      </c>
      <c r="E131" s="221">
        <f> same as SITE_AREA_ACRES</f>
        <v/>
      </c>
    </row>
    <row r="132">
      <c r="B132" s="221" t="inlineStr">
        <is>
          <t>UNIT_COUNT</t>
        </is>
      </c>
      <c r="C132" s="221">
        <f>Intake!B36</f>
        <v/>
      </c>
      <c r="D132" s="221">
        <f>IF(C132="","",TEXT(C132,"0"))</f>
        <v/>
      </c>
      <c r="E132" s="221">
        <f> Intake unit count</f>
        <v/>
      </c>
    </row>
    <row r="133">
      <c r="B133" s="221" t="inlineStr">
        <is>
          <t>BUILDINGS_STORIES</t>
        </is>
      </c>
      <c r="C133" s="221">
        <f>Intake!B37</f>
        <v/>
      </c>
      <c r="D133" s="221">
        <f>IF(C133="","",C133)</f>
        <v/>
      </c>
      <c r="E133" s="221">
        <f> Intake stories</f>
        <v/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I9"/>
  <sheetViews>
    <sheetView workbookViewId="0">
      <selection activeCell="A1" sqref="A1"/>
    </sheetView>
  </sheetViews>
  <sheetFormatPr baseColWidth="8" defaultRowHeight="13.19999980926514"/>
  <cols>
    <col width="14" customWidth="1" style="160" min="1" max="1"/>
    <col width="17.6640625" customWidth="1" style="160" min="2" max="2"/>
    <col width="24" customWidth="1" style="160" min="3" max="3"/>
    <col width="22" customWidth="1" style="160" min="4" max="4"/>
    <col width="18" customWidth="1" style="160" min="5" max="5"/>
    <col width="14" customWidth="1" style="160" min="6" max="35"/>
  </cols>
  <sheetData>
    <row r="1" ht="28.04999923706055" customHeight="1" s="160">
      <c r="A1" s="112" t="inlineStr">
        <is>
          <t>COMP_NO</t>
        </is>
      </c>
      <c r="B1" s="112" t="inlineStr">
        <is>
          <t>COMP_SUBMARKET</t>
        </is>
      </c>
      <c r="C1" s="112" t="inlineStr">
        <is>
          <t>COMP_ADDRESS_LINE1</t>
        </is>
      </c>
      <c r="D1" s="112" t="inlineStr">
        <is>
          <t>COMP_ADDRESS_LINE2</t>
        </is>
      </c>
      <c r="E1" s="112" t="inlineStr">
        <is>
          <t>COMP_PROPERTY_TYPE</t>
        </is>
      </c>
      <c r="F1" s="112" t="inlineStr">
        <is>
          <t>COMP_SALE_PRICE</t>
        </is>
      </c>
      <c r="G1" s="112" t="inlineStr">
        <is>
          <t>COMP_SALE_DATE</t>
        </is>
      </c>
      <c r="H1" s="112" t="inlineStr">
        <is>
          <t>COMP_GBA_SF</t>
        </is>
      </c>
      <c r="I1" s="112" t="inlineStr">
        <is>
          <t>COMP_PRICE_SF</t>
        </is>
      </c>
      <c r="J1" s="112" t="inlineStr">
        <is>
          <t>COMP_CAP_RATE</t>
        </is>
      </c>
      <c r="K1" s="112" t="inlineStr">
        <is>
          <t>COMP_YEAR_BUILT</t>
        </is>
      </c>
      <c r="L1" s="112" t="inlineStr">
        <is>
          <t>COMP_SITE_AREA</t>
        </is>
      </c>
      <c r="M1" s="112" t="inlineStr">
        <is>
          <t>COMP_STORIES</t>
        </is>
      </c>
      <c r="N1" s="112" t="inlineStr">
        <is>
          <t>COMP_CONSTRUCTION</t>
        </is>
      </c>
      <c r="O1" s="112" t="inlineStr">
        <is>
          <t>COMP_CONDITION</t>
        </is>
      </c>
      <c r="P1" s="112" t="inlineStr">
        <is>
          <t>COMP_ZONING</t>
        </is>
      </c>
      <c r="Q1" s="112" t="inlineStr">
        <is>
          <t>COMP_TOPOGRAPHY</t>
        </is>
      </c>
      <c r="R1" s="112" t="inlineStr">
        <is>
          <t>COMP_SHAPE</t>
        </is>
      </c>
      <c r="S1" s="112" t="inlineStr">
        <is>
          <t>COMP_FLOOD_ZONE</t>
        </is>
      </c>
      <c r="T1" s="112" t="inlineStr">
        <is>
          <t>COMP_ACCESS</t>
        </is>
      </c>
      <c r="U1" s="112" t="inlineStr">
        <is>
          <t>COMP_VISIBILITY</t>
        </is>
      </c>
      <c r="V1" s="112" t="inlineStr">
        <is>
          <t>COMP_UTILITIES</t>
        </is>
      </c>
      <c r="W1" s="112" t="inlineStr">
        <is>
          <t>COMP_GRANTOR</t>
        </is>
      </c>
      <c r="X1" s="112" t="inlineStr">
        <is>
          <t>COMP_GRANTEE</t>
        </is>
      </c>
      <c r="Y1" s="112" t="inlineStr">
        <is>
          <t>COMP_DEED_REF</t>
        </is>
      </c>
      <c r="Z1" s="112" t="inlineStr">
        <is>
          <t>COMP_VERIFICATION</t>
        </is>
      </c>
      <c r="AA1" s="112" t="inlineStr">
        <is>
          <t>COMP_NOI</t>
        </is>
      </c>
      <c r="AB1" s="112" t="inlineStr">
        <is>
          <t>COMP_NOI_SF</t>
        </is>
      </c>
      <c r="AC1" s="112" t="inlineStr">
        <is>
          <t>COMP_ANALYSIS</t>
        </is>
      </c>
      <c r="AD1" s="112" t="inlineStr">
        <is>
          <t>COMP_RELEVANCE</t>
        </is>
      </c>
      <c r="AE1" s="112" t="inlineStr">
        <is>
          <t>COMP_POPULATION</t>
        </is>
      </c>
      <c r="AF1" s="112" t="inlineStr">
        <is>
          <t>COMP_HH_INCOME</t>
        </is>
      </c>
      <c r="AG1" s="112" t="inlineStr">
        <is>
          <t>COMP_LIST_PRICE</t>
        </is>
      </c>
      <c r="AH1" s="112" t="inlineStr">
        <is>
          <t>COMP_PCT_DISCOUNT</t>
        </is>
      </c>
      <c r="AI1" s="112" t="inlineStr">
        <is>
          <t>COMP_TIME_ON_MARKET</t>
        </is>
      </c>
    </row>
    <row r="2" ht="36" customHeight="1" s="160">
      <c r="A2" s="113" t="inlineStr">
        <is>
          <t>Sale No. N (e.g. Sale No. 1)</t>
        </is>
      </c>
      <c r="B2" s="113" t="inlineStr">
        <is>
          <t>Submarket name (e.g. Demo Hills)</t>
        </is>
      </c>
      <c r="C2" s="113" t="inlineStr">
        <is>
          <t>Street address</t>
        </is>
      </c>
      <c r="D2" s="113" t="inlineStr">
        <is>
          <t>City, State ZIP</t>
        </is>
      </c>
      <c r="E2" s="113" t="inlineStr">
        <is>
          <t>Property type label</t>
        </is>
      </c>
      <c r="F2" s="113" t="inlineStr">
        <is>
          <t>Sale price (e.g. $892,000)</t>
        </is>
      </c>
      <c r="G2" s="113" t="inlineStr">
        <is>
          <t>Sale date (e.g. 12/26/2025)</t>
        </is>
      </c>
      <c r="H2" s="113" t="inlineStr">
        <is>
          <t>GBA with SF (e.g. 9,780 SF)</t>
        </is>
      </c>
      <c r="I2" s="113" t="inlineStr">
        <is>
          <t>Price per SF (e.g. $91.26)</t>
        </is>
      </c>
      <c r="J2" s="113" t="inlineStr">
        <is>
          <t>Cap rate (e.g. 8.10% or N/A)</t>
        </is>
      </c>
      <c r="K2" s="113" t="inlineStr">
        <is>
          <t>Year built (e.g. 1988)</t>
        </is>
      </c>
      <c r="L2" s="113" t="inlineStr">
        <is>
          <t>Site area (e.g. ± 110,002 SF)</t>
        </is>
      </c>
      <c r="M2" s="113" t="inlineStr">
        <is>
          <t>Stories (e.g. One, Two)</t>
        </is>
      </c>
      <c r="N2" s="113" t="inlineStr">
        <is>
          <t>Construction type</t>
        </is>
      </c>
      <c r="O2" s="113" t="inlineStr">
        <is>
          <t>Condition (e.g. Average)</t>
        </is>
      </c>
      <c r="P2" s="113" t="inlineStr">
        <is>
          <t>Zoning (e.g. Office/Commercial)</t>
        </is>
      </c>
      <c r="Q2" s="113" t="inlineStr">
        <is>
          <t>Topography (e.g. Level)</t>
        </is>
      </c>
      <c r="R2" s="113" t="inlineStr">
        <is>
          <t>Shape (e.g. Irregular)</t>
        </is>
      </c>
      <c r="S2" s="113" t="inlineStr">
        <is>
          <t>Flood zone (e.g. Zone X)</t>
        </is>
      </c>
      <c r="T2" s="113" t="inlineStr">
        <is>
          <t>Access (e.g. Average)</t>
        </is>
      </c>
      <c r="U2" s="113" t="inlineStr">
        <is>
          <t>Visibility (e.g. Average)</t>
        </is>
      </c>
      <c r="V2" s="113" t="inlineStr">
        <is>
          <t>Utilities (e.g. All Public)</t>
        </is>
      </c>
      <c r="W2" s="113" t="inlineStr">
        <is>
          <t>Grantor name</t>
        </is>
      </c>
      <c r="X2" s="113" t="inlineStr">
        <is>
          <t>Grantee name</t>
        </is>
      </c>
      <c r="Y2" s="113" t="inlineStr">
        <is>
          <t>Deed reference number</t>
        </is>
      </c>
      <c r="Z2" s="113" t="inlineStr">
        <is>
          <t>Verification source</t>
        </is>
      </c>
      <c r="AA2" s="113" t="inlineStr">
        <is>
          <t>NOI (e.g. $72,293 or Not Available)</t>
        </is>
      </c>
      <c r="AB2" s="113" t="inlineStr">
        <is>
          <t>NOI per SF (e.g. $7.39 or Not Available)</t>
        </is>
      </c>
      <c r="AC2" s="113" t="inlineStr">
        <is>
          <t>Main analysis paragraph</t>
        </is>
      </c>
      <c r="AD2" s="113" t="inlineStr">
        <is>
          <t>Relevance sentence</t>
        </is>
      </c>
      <c r="AE2" s="113" t="inlineStr">
        <is>
          <t>Population (e.g. 132,176)</t>
        </is>
      </c>
      <c r="AF2" s="113" t="inlineStr">
        <is>
          <t>Median HH income (e.g. $94,659)</t>
        </is>
      </c>
      <c r="AG2" s="113" t="inlineStr">
        <is>
          <t>List price (e.g. $1,000,000)</t>
        </is>
      </c>
      <c r="AH2" s="113" t="inlineStr">
        <is>
          <t>% discount from list (e.g. 11%)</t>
        </is>
      </c>
      <c r="AI2" s="113" t="inlineStr">
        <is>
          <t>Time on market (e.g. 52 days)</t>
        </is>
      </c>
    </row>
    <row r="3" ht="19.95000076293945" customHeight="1" s="160">
      <c r="A3" s="114" t="inlineStr">
        <is>
          <t>Sale No. 1</t>
        </is>
      </c>
      <c r="B3" s="115" t="n"/>
      <c r="C3" s="115" t="n"/>
      <c r="D3" s="115" t="n"/>
      <c r="E3" s="115" t="n"/>
      <c r="F3" s="115" t="n"/>
      <c r="G3" s="115" t="n"/>
      <c r="H3" s="115" t="n"/>
      <c r="I3" s="115" t="n"/>
      <c r="J3" s="115" t="n"/>
      <c r="K3" s="115" t="n"/>
      <c r="L3" s="115" t="n"/>
      <c r="M3" s="115" t="n"/>
      <c r="N3" s="115" t="n"/>
      <c r="O3" s="115" t="n"/>
      <c r="P3" s="115" t="n"/>
      <c r="Q3" s="115" t="n"/>
      <c r="R3" s="115" t="n"/>
      <c r="S3" s="115" t="n"/>
      <c r="T3" s="115" t="n"/>
      <c r="U3" s="115" t="n"/>
      <c r="V3" s="115" t="n"/>
      <c r="W3" s="115" t="n"/>
      <c r="X3" s="115" t="n"/>
      <c r="Y3" s="115" t="n"/>
      <c r="Z3" s="115" t="n"/>
      <c r="AA3" s="115" t="n"/>
      <c r="AB3" s="115" t="n"/>
      <c r="AC3" s="115" t="n"/>
      <c r="AD3" s="115" t="n"/>
      <c r="AE3" s="115" t="n"/>
      <c r="AF3" s="115" t="n"/>
      <c r="AG3" s="115" t="n"/>
      <c r="AH3" s="115" t="n"/>
      <c r="AI3" s="115" t="n"/>
    </row>
    <row r="4" ht="19.95000076293945" customHeight="1" s="160">
      <c r="A4" s="116" t="inlineStr">
        <is>
          <t>Sale No. 2</t>
        </is>
      </c>
      <c r="B4" s="115" t="n"/>
      <c r="C4" s="115" t="n"/>
      <c r="D4" s="115" t="n"/>
      <c r="E4" s="115" t="n"/>
      <c r="F4" s="115" t="n"/>
      <c r="G4" s="115" t="n"/>
      <c r="H4" s="115" t="n"/>
      <c r="I4" s="115" t="n"/>
      <c r="J4" s="115" t="n"/>
      <c r="K4" s="115" t="n"/>
      <c r="L4" s="115" t="n"/>
      <c r="M4" s="115" t="n"/>
      <c r="N4" s="115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5" t="n"/>
      <c r="AB4" s="115" t="n"/>
      <c r="AC4" s="115" t="n"/>
      <c r="AD4" s="115" t="n"/>
      <c r="AE4" s="115" t="n"/>
      <c r="AF4" s="115" t="n"/>
      <c r="AG4" s="115" t="n"/>
      <c r="AH4" s="115" t="n"/>
      <c r="AI4" s="115" t="n"/>
    </row>
    <row r="5" ht="19.95000076293945" customHeight="1" s="160">
      <c r="A5" s="114" t="inlineStr">
        <is>
          <t>Sale No. 3</t>
        </is>
      </c>
      <c r="B5" s="115" t="n"/>
      <c r="C5" s="115" t="n"/>
      <c r="D5" s="115" t="n"/>
      <c r="E5" s="115" t="n"/>
      <c r="F5" s="115" t="n"/>
      <c r="G5" s="115" t="n"/>
      <c r="H5" s="115" t="n"/>
      <c r="I5" s="115" t="n"/>
      <c r="J5" s="115" t="n"/>
      <c r="K5" s="115" t="n"/>
      <c r="L5" s="115" t="n"/>
      <c r="M5" s="115" t="n"/>
      <c r="N5" s="115" t="n"/>
      <c r="O5" s="115" t="n"/>
      <c r="P5" s="115" t="n"/>
      <c r="Q5" s="115" t="n"/>
      <c r="R5" s="115" t="n"/>
      <c r="S5" s="115" t="n"/>
      <c r="T5" s="115" t="n"/>
      <c r="U5" s="115" t="n"/>
      <c r="V5" s="115" t="n"/>
      <c r="W5" s="115" t="n"/>
      <c r="X5" s="115" t="n"/>
      <c r="Y5" s="115" t="n"/>
      <c r="Z5" s="115" t="n"/>
      <c r="AA5" s="115" t="n"/>
      <c r="AB5" s="115" t="n"/>
      <c r="AC5" s="115" t="n"/>
      <c r="AD5" s="115" t="n"/>
      <c r="AE5" s="115" t="n"/>
      <c r="AF5" s="115" t="n"/>
      <c r="AG5" s="115" t="n"/>
      <c r="AH5" s="115" t="n"/>
      <c r="AI5" s="115" t="n"/>
    </row>
    <row r="6" ht="19.95000076293945" customHeight="1" s="160">
      <c r="A6" s="116" t="inlineStr">
        <is>
          <t>Sale No. 4</t>
        </is>
      </c>
      <c r="B6" s="115" t="n"/>
      <c r="C6" s="115" t="n"/>
      <c r="D6" s="115" t="n"/>
      <c r="E6" s="115" t="n"/>
      <c r="F6" s="115" t="n"/>
      <c r="G6" s="115" t="n"/>
      <c r="H6" s="115" t="n"/>
      <c r="I6" s="115" t="n"/>
      <c r="J6" s="115" t="n"/>
      <c r="K6" s="115" t="n"/>
      <c r="L6" s="115" t="n"/>
      <c r="M6" s="115" t="n"/>
      <c r="N6" s="115" t="n"/>
      <c r="O6" s="115" t="n"/>
      <c r="P6" s="115" t="n"/>
      <c r="Q6" s="115" t="n"/>
      <c r="R6" s="115" t="n"/>
      <c r="S6" s="115" t="n"/>
      <c r="T6" s="115" t="n"/>
      <c r="U6" s="115" t="n"/>
      <c r="V6" s="115" t="n"/>
      <c r="W6" s="115" t="n"/>
      <c r="X6" s="115" t="n"/>
      <c r="Y6" s="115" t="n"/>
      <c r="Z6" s="115" t="n"/>
      <c r="AA6" s="115" t="n"/>
      <c r="AB6" s="115" t="n"/>
      <c r="AC6" s="115" t="n"/>
      <c r="AD6" s="115" t="n"/>
      <c r="AE6" s="115" t="n"/>
      <c r="AF6" s="115" t="n"/>
      <c r="AG6" s="115" t="n"/>
      <c r="AH6" s="115" t="n"/>
      <c r="AI6" s="115" t="n"/>
    </row>
    <row r="7" ht="19.95000076293945" customHeight="1" s="160">
      <c r="A7" s="114" t="inlineStr">
        <is>
          <t>Sale No. 5</t>
        </is>
      </c>
      <c r="B7" s="115" t="n"/>
      <c r="C7" s="115" t="n"/>
      <c r="D7" s="115" t="n"/>
      <c r="E7" s="115" t="n"/>
      <c r="F7" s="115" t="n"/>
      <c r="G7" s="115" t="n"/>
      <c r="H7" s="115" t="n"/>
      <c r="I7" s="115" t="n"/>
      <c r="J7" s="115" t="n"/>
      <c r="K7" s="115" t="n"/>
      <c r="L7" s="115" t="n"/>
      <c r="M7" s="115" t="n"/>
      <c r="N7" s="115" t="n"/>
      <c r="O7" s="115" t="n"/>
      <c r="P7" s="115" t="n"/>
      <c r="Q7" s="115" t="n"/>
      <c r="R7" s="115" t="n"/>
      <c r="S7" s="115" t="n"/>
      <c r="T7" s="115" t="n"/>
      <c r="U7" s="115" t="n"/>
      <c r="V7" s="115" t="n"/>
      <c r="W7" s="115" t="n"/>
      <c r="X7" s="115" t="n"/>
      <c r="Y7" s="115" t="n"/>
      <c r="Z7" s="115" t="n"/>
      <c r="AA7" s="115" t="n"/>
      <c r="AB7" s="115" t="n"/>
      <c r="AC7" s="115" t="n"/>
      <c r="AD7" s="115" t="n"/>
      <c r="AE7" s="115" t="n"/>
      <c r="AF7" s="115" t="n"/>
      <c r="AG7" s="115" t="n"/>
      <c r="AH7" s="115" t="n"/>
      <c r="AI7" s="115" t="n"/>
    </row>
    <row r="8" ht="19.95000076293945" customHeight="1" s="160">
      <c r="A8" s="116" t="inlineStr">
        <is>
          <t>Sale No. 6</t>
        </is>
      </c>
      <c r="B8" s="115" t="n"/>
      <c r="C8" s="115" t="n"/>
      <c r="D8" s="115" t="n"/>
      <c r="E8" s="115" t="n"/>
      <c r="F8" s="115" t="n"/>
      <c r="G8" s="115" t="n"/>
      <c r="H8" s="115" t="n"/>
      <c r="I8" s="115" t="n"/>
      <c r="J8" s="115" t="n"/>
      <c r="K8" s="115" t="n"/>
      <c r="L8" s="115" t="n"/>
      <c r="M8" s="115" t="n"/>
      <c r="N8" s="115" t="n"/>
      <c r="O8" s="115" t="n"/>
      <c r="P8" s="115" t="n"/>
      <c r="Q8" s="115" t="n"/>
      <c r="R8" s="115" t="n"/>
      <c r="S8" s="115" t="n"/>
      <c r="T8" s="115" t="n"/>
      <c r="U8" s="115" t="n"/>
      <c r="V8" s="115" t="n"/>
      <c r="W8" s="115" t="n"/>
      <c r="X8" s="115" t="n"/>
      <c r="Y8" s="115" t="n"/>
      <c r="Z8" s="115" t="n"/>
      <c r="AA8" s="115" t="n"/>
      <c r="AB8" s="115" t="n"/>
      <c r="AC8" s="115" t="n"/>
      <c r="AD8" s="115" t="n"/>
      <c r="AE8" s="115" t="n"/>
      <c r="AF8" s="115" t="n"/>
      <c r="AG8" s="115" t="n"/>
      <c r="AH8" s="115" t="n"/>
      <c r="AI8" s="115" t="n"/>
    </row>
    <row r="9" ht="19.95000076293945" customHeight="1" s="160">
      <c r="A9" s="114" t="inlineStr">
        <is>
          <t>Sale No. 7</t>
        </is>
      </c>
      <c r="B9" s="115" t="n"/>
      <c r="C9" s="115" t="n"/>
      <c r="D9" s="115" t="n"/>
      <c r="E9" s="115" t="n"/>
      <c r="F9" s="115" t="n"/>
      <c r="G9" s="115" t="n"/>
      <c r="H9" s="115" t="n"/>
      <c r="I9" s="115" t="n"/>
      <c r="J9" s="115" t="n"/>
      <c r="K9" s="115" t="n"/>
      <c r="L9" s="115" t="n"/>
      <c r="M9" s="115" t="n"/>
      <c r="N9" s="115" t="n"/>
      <c r="O9" s="115" t="n"/>
      <c r="P9" s="115" t="n"/>
      <c r="Q9" s="115" t="n"/>
      <c r="R9" s="115" t="n"/>
      <c r="S9" s="115" t="n"/>
      <c r="T9" s="115" t="n"/>
      <c r="U9" s="115" t="n"/>
      <c r="V9" s="115" t="n"/>
      <c r="W9" s="115" t="n"/>
      <c r="X9" s="115" t="n"/>
      <c r="Y9" s="115" t="n"/>
      <c r="Z9" s="115" t="n"/>
      <c r="AA9" s="115" t="n"/>
      <c r="AB9" s="115" t="n"/>
      <c r="AC9" s="115" t="n"/>
      <c r="AD9" s="115" t="n"/>
      <c r="AE9" s="115" t="n"/>
      <c r="AF9" s="115" t="n"/>
      <c r="AG9" s="115" t="n"/>
      <c r="AH9" s="115" t="n"/>
      <c r="AI9" s="115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3.19999980926514"/>
  <cols>
    <col width="12" customWidth="1" style="160" min="1" max="1"/>
    <col width="14" customWidth="1" style="160" min="2" max="7"/>
  </cols>
  <sheetData>
    <row r="1" ht="18" customHeight="1" s="160">
      <c r="A1" s="236" t="inlineStr">
        <is>
          <t>Dilmore Size Adjustment Table  —  Size Factor (A_c / A_s)</t>
        </is>
      </c>
      <c r="B1" s="162" t="n"/>
      <c r="C1" s="162" t="n"/>
      <c r="D1" s="162" t="n"/>
      <c r="E1" s="162" t="n"/>
      <c r="F1" s="162" t="n"/>
      <c r="G1" s="163" t="n"/>
    </row>
    <row r="2" ht="13.94999980926514" customHeight="1" s="160">
      <c r="A2" s="234" t="inlineStr">
        <is>
          <t>A_c = Comparable GBA  |  A_s = Subject GBA  |  Factor = 1.00 means no size adjustment</t>
        </is>
      </c>
      <c r="B2" s="162" t="n"/>
      <c r="C2" s="162" t="n"/>
      <c r="D2" s="162" t="n"/>
      <c r="E2" s="162" t="n"/>
      <c r="F2" s="162" t="n"/>
      <c r="G2" s="163" t="n"/>
    </row>
    <row r="3" ht="16.04999923706055" customHeight="1" s="160">
      <c r="A3" s="37" t="inlineStr">
        <is>
          <t>A_c / A_s</t>
        </is>
      </c>
      <c r="B3" s="37" t="inlineStr">
        <is>
          <t>80% Curve</t>
        </is>
      </c>
      <c r="C3" s="37" t="inlineStr">
        <is>
          <t>82.5% Curve</t>
        </is>
      </c>
      <c r="D3" s="37" t="inlineStr">
        <is>
          <t>85% Curve</t>
        </is>
      </c>
      <c r="E3" s="37" t="inlineStr">
        <is>
          <t>87.5% Curve</t>
        </is>
      </c>
      <c r="F3" s="37" t="inlineStr">
        <is>
          <t>90% Curve</t>
        </is>
      </c>
      <c r="G3" s="37" t="inlineStr">
        <is>
          <t>Adj % (85%)</t>
        </is>
      </c>
    </row>
    <row r="4" ht="13.05000019073486" customHeight="1" s="160">
      <c r="A4" s="117" t="n">
        <v>0.01</v>
      </c>
      <c r="B4" s="118" t="n">
        <v>0.23</v>
      </c>
      <c r="C4" s="118" t="n">
        <v>0.28</v>
      </c>
      <c r="D4" s="118" t="n">
        <v>0.34</v>
      </c>
      <c r="E4" s="118" t="n">
        <v>0.41</v>
      </c>
      <c r="F4" s="118" t="n">
        <v>0.5</v>
      </c>
      <c r="G4" s="118" t="inlineStr">
        <is>
          <t>-66.0%</t>
        </is>
      </c>
    </row>
    <row r="5" ht="13.05000019073486" customHeight="1" s="160">
      <c r="A5" s="119" t="n">
        <v>0.02</v>
      </c>
      <c r="B5" s="120" t="n">
        <v>0.28</v>
      </c>
      <c r="C5" s="120" t="n">
        <v>0.34</v>
      </c>
      <c r="D5" s="120" t="n">
        <v>0.4</v>
      </c>
      <c r="E5" s="120" t="n">
        <v>0.47</v>
      </c>
      <c r="F5" s="120" t="n">
        <v>0.55</v>
      </c>
      <c r="G5" s="120" t="inlineStr">
        <is>
          <t>-60.0%</t>
        </is>
      </c>
    </row>
    <row r="6" ht="13.05000019073486" customHeight="1" s="160">
      <c r="A6" s="117" t="n">
        <v>0.03</v>
      </c>
      <c r="B6" s="118" t="n">
        <v>0.32</v>
      </c>
      <c r="C6" s="118" t="n">
        <v>0.38</v>
      </c>
      <c r="D6" s="118" t="n">
        <v>0.44</v>
      </c>
      <c r="E6" s="118" t="n">
        <v>0.51</v>
      </c>
      <c r="F6" s="118" t="n">
        <v>0.59</v>
      </c>
      <c r="G6" s="118" t="inlineStr">
        <is>
          <t>-56.0%</t>
        </is>
      </c>
    </row>
    <row r="7" ht="13.05000019073486" customHeight="1" s="160">
      <c r="A7" s="119" t="n">
        <v>0.04</v>
      </c>
      <c r="B7" s="120" t="n">
        <v>0.35</v>
      </c>
      <c r="C7" s="120" t="n">
        <v>0.41</v>
      </c>
      <c r="D7" s="120" t="n">
        <v>0.47</v>
      </c>
      <c r="E7" s="120" t="n">
        <v>0.54</v>
      </c>
      <c r="F7" s="120" t="n">
        <v>0.61</v>
      </c>
      <c r="G7" s="120" t="inlineStr">
        <is>
          <t>-53.0%</t>
        </is>
      </c>
    </row>
    <row r="8" ht="13.05000019073486" customHeight="1" s="160">
      <c r="A8" s="117" t="n">
        <v>0.05</v>
      </c>
      <c r="B8" s="118" t="n">
        <v>0.38</v>
      </c>
      <c r="C8" s="118" t="n">
        <v>0.44</v>
      </c>
      <c r="D8" s="118" t="n">
        <v>0.49</v>
      </c>
      <c r="E8" s="118" t="n">
        <v>0.5600000000000001</v>
      </c>
      <c r="F8" s="118" t="n">
        <v>0.63</v>
      </c>
      <c r="G8" s="118" t="inlineStr">
        <is>
          <t>-51.0%</t>
        </is>
      </c>
    </row>
    <row r="9" ht="13.05000019073486" customHeight="1" s="160">
      <c r="A9" s="119" t="n">
        <v>0.06</v>
      </c>
      <c r="B9" s="120" t="n">
        <v>0.4</v>
      </c>
      <c r="C9" s="120" t="n">
        <v>0.46</v>
      </c>
      <c r="D9" s="120" t="n">
        <v>0.52</v>
      </c>
      <c r="E9" s="120" t="n">
        <v>0.58</v>
      </c>
      <c r="F9" s="120" t="n">
        <v>0.65</v>
      </c>
      <c r="G9" s="120" t="inlineStr">
        <is>
          <t>-48.0%</t>
        </is>
      </c>
    </row>
    <row r="10" ht="13.05000019073486" customHeight="1" s="160">
      <c r="A10" s="117" t="n">
        <v>0.07000000000000001</v>
      </c>
      <c r="B10" s="118" t="n">
        <v>0.42</v>
      </c>
      <c r="C10" s="118" t="n">
        <v>0.48</v>
      </c>
      <c r="D10" s="118" t="n">
        <v>0.54</v>
      </c>
      <c r="E10" s="118" t="n">
        <v>0.6</v>
      </c>
      <c r="F10" s="118" t="n">
        <v>0.67</v>
      </c>
      <c r="G10" s="118" t="inlineStr">
        <is>
          <t>-46.0%</t>
        </is>
      </c>
    </row>
    <row r="11" ht="13.05000019073486" customHeight="1" s="160">
      <c r="A11" s="119" t="n">
        <v>0.08</v>
      </c>
      <c r="B11" s="120" t="n">
        <v>0.44</v>
      </c>
      <c r="C11" s="120" t="n">
        <v>0.5</v>
      </c>
      <c r="D11" s="120" t="n">
        <v>0.55</v>
      </c>
      <c r="E11" s="120" t="n">
        <v>0.61</v>
      </c>
      <c r="F11" s="120" t="n">
        <v>0.68</v>
      </c>
      <c r="G11" s="120" t="inlineStr">
        <is>
          <t>-45.0%</t>
        </is>
      </c>
    </row>
    <row r="12" ht="13.05000019073486" customHeight="1" s="160">
      <c r="A12" s="117" t="n">
        <v>0.09</v>
      </c>
      <c r="B12" s="118" t="n">
        <v>0.46</v>
      </c>
      <c r="C12" s="118" t="n">
        <v>0.51</v>
      </c>
      <c r="D12" s="118" t="n">
        <v>0.57</v>
      </c>
      <c r="E12" s="118" t="n">
        <v>0.63</v>
      </c>
      <c r="F12" s="118" t="n">
        <v>0.6899999999999999</v>
      </c>
      <c r="G12" s="118" t="inlineStr">
        <is>
          <t>-43.0%</t>
        </is>
      </c>
    </row>
    <row r="13" ht="13.05000019073486" customHeight="1" s="160">
      <c r="A13" s="119" t="n">
        <v>0.1</v>
      </c>
      <c r="B13" s="120" t="n">
        <v>0.48</v>
      </c>
      <c r="C13" s="120" t="n">
        <v>0.53</v>
      </c>
      <c r="D13" s="120" t="n">
        <v>0.58</v>
      </c>
      <c r="E13" s="120" t="n">
        <v>0.64</v>
      </c>
      <c r="F13" s="120" t="n">
        <v>0.7</v>
      </c>
      <c r="G13" s="120" t="inlineStr">
        <is>
          <t>-42.0%</t>
        </is>
      </c>
    </row>
    <row r="14" ht="13.05000019073486" customHeight="1" s="160">
      <c r="A14" s="117" t="n">
        <v>0.11</v>
      </c>
      <c r="B14" s="118" t="n">
        <v>0.49</v>
      </c>
      <c r="C14" s="118" t="n">
        <v>0.54</v>
      </c>
      <c r="D14" s="118" t="n">
        <v>0.6</v>
      </c>
      <c r="E14" s="118" t="n">
        <v>0.65</v>
      </c>
      <c r="F14" s="118" t="n">
        <v>0.71</v>
      </c>
      <c r="G14" s="118" t="inlineStr">
        <is>
          <t>-40.0%</t>
        </is>
      </c>
    </row>
    <row r="15" ht="13.05000019073486" customHeight="1" s="160">
      <c r="A15" s="119" t="n">
        <v>0.12</v>
      </c>
      <c r="B15" s="120" t="n">
        <v>0.51</v>
      </c>
      <c r="C15" s="120" t="n">
        <v>0.5600000000000001</v>
      </c>
      <c r="D15" s="120" t="n">
        <v>0.61</v>
      </c>
      <c r="E15" s="120" t="n">
        <v>0.66</v>
      </c>
      <c r="F15" s="120" t="n">
        <v>0.72</v>
      </c>
      <c r="G15" s="120" t="inlineStr">
        <is>
          <t>-39.0%</t>
        </is>
      </c>
    </row>
    <row r="16" ht="13.05000019073486" customHeight="1" s="160">
      <c r="A16" s="117" t="n">
        <v>0.13</v>
      </c>
      <c r="B16" s="118" t="n">
        <v>0.52</v>
      </c>
      <c r="C16" s="118" t="n">
        <v>0.57</v>
      </c>
      <c r="D16" s="118" t="n">
        <v>0.62</v>
      </c>
      <c r="E16" s="118" t="n">
        <v>0.68</v>
      </c>
      <c r="F16" s="118" t="n">
        <v>0.73</v>
      </c>
      <c r="G16" s="118" t="inlineStr">
        <is>
          <t>-38.0%</t>
        </is>
      </c>
    </row>
    <row r="17" ht="13.05000019073486" customHeight="1" s="160">
      <c r="A17" s="119" t="n">
        <v>0.14</v>
      </c>
      <c r="B17" s="120" t="n">
        <v>0.53</v>
      </c>
      <c r="C17" s="120" t="n">
        <v>0.58</v>
      </c>
      <c r="D17" s="120" t="n">
        <v>0.63</v>
      </c>
      <c r="E17" s="120" t="n">
        <v>0.68</v>
      </c>
      <c r="F17" s="120" t="n">
        <v>0.74</v>
      </c>
      <c r="G17" s="120" t="inlineStr">
        <is>
          <t>-37.0%</t>
        </is>
      </c>
    </row>
    <row r="18" ht="13.05000019073486" customHeight="1" s="160">
      <c r="A18" s="117" t="n">
        <v>0.15</v>
      </c>
      <c r="B18" s="118" t="n">
        <v>0.54</v>
      </c>
      <c r="C18" s="118" t="n">
        <v>0.59</v>
      </c>
      <c r="D18" s="118" t="n">
        <v>0.64</v>
      </c>
      <c r="E18" s="118" t="n">
        <v>0.6899999999999999</v>
      </c>
      <c r="F18" s="118" t="n">
        <v>0.75</v>
      </c>
      <c r="G18" s="118" t="inlineStr">
        <is>
          <t>-36.0%</t>
        </is>
      </c>
    </row>
    <row r="19" ht="13.05000019073486" customHeight="1" s="160">
      <c r="A19" s="119" t="n">
        <v>0.16</v>
      </c>
      <c r="B19" s="120" t="n">
        <v>0.55</v>
      </c>
      <c r="C19" s="120" t="n">
        <v>0.6</v>
      </c>
      <c r="D19" s="120" t="n">
        <v>0.65</v>
      </c>
      <c r="E19" s="120" t="n">
        <v>0.7</v>
      </c>
      <c r="F19" s="120" t="n">
        <v>0.76</v>
      </c>
      <c r="G19" s="120" t="inlineStr">
        <is>
          <t>-35.0%</t>
        </is>
      </c>
    </row>
    <row r="20" ht="13.05000019073486" customHeight="1" s="160">
      <c r="A20" s="117" t="n">
        <v>0.17</v>
      </c>
      <c r="B20" s="118" t="n">
        <v>0.57</v>
      </c>
      <c r="C20" s="118" t="n">
        <v>0.61</v>
      </c>
      <c r="D20" s="118" t="n">
        <v>0.66</v>
      </c>
      <c r="E20" s="118" t="n">
        <v>0.71</v>
      </c>
      <c r="F20" s="118" t="n">
        <v>0.76</v>
      </c>
      <c r="G20" s="118" t="inlineStr">
        <is>
          <t>-34.0%</t>
        </is>
      </c>
    </row>
    <row r="21" ht="13.05000019073486" customHeight="1" s="160">
      <c r="A21" s="119" t="n">
        <v>0.18</v>
      </c>
      <c r="B21" s="120" t="n">
        <v>0.58</v>
      </c>
      <c r="C21" s="120" t="n">
        <v>0.62</v>
      </c>
      <c r="D21" s="120" t="n">
        <v>0.67</v>
      </c>
      <c r="E21" s="120" t="n">
        <v>0.72</v>
      </c>
      <c r="F21" s="120" t="n">
        <v>0.77</v>
      </c>
      <c r="G21" s="120" t="inlineStr">
        <is>
          <t>-33.0%</t>
        </is>
      </c>
    </row>
    <row r="22" ht="13.05000019073486" customHeight="1" s="160">
      <c r="A22" s="117" t="n">
        <v>0.19</v>
      </c>
      <c r="B22" s="118" t="n">
        <v>0.59</v>
      </c>
      <c r="C22" s="118" t="n">
        <v>0.63</v>
      </c>
      <c r="D22" s="118" t="n">
        <v>0.68</v>
      </c>
      <c r="E22" s="118" t="n">
        <v>0.73</v>
      </c>
      <c r="F22" s="118" t="n">
        <v>0.78</v>
      </c>
      <c r="G22" s="118" t="inlineStr">
        <is>
          <t>-32.0%</t>
        </is>
      </c>
    </row>
    <row r="23" ht="13.05000019073486" customHeight="1" s="160">
      <c r="A23" s="119" t="n">
        <v>0.2</v>
      </c>
      <c r="B23" s="120" t="n">
        <v>0.6</v>
      </c>
      <c r="C23" s="120" t="n">
        <v>0.64</v>
      </c>
      <c r="D23" s="120" t="n">
        <v>0.6899999999999999</v>
      </c>
      <c r="E23" s="120" t="n">
        <v>0.73</v>
      </c>
      <c r="F23" s="120" t="n">
        <v>0.78</v>
      </c>
      <c r="G23" s="120" t="inlineStr">
        <is>
          <t>-31.0%</t>
        </is>
      </c>
    </row>
    <row r="24" ht="13.05000019073486" customHeight="1" s="160">
      <c r="A24" s="117" t="n">
        <v>0.25</v>
      </c>
      <c r="B24" s="118" t="n">
        <v>0.64</v>
      </c>
      <c r="C24" s="118" t="n">
        <v>0.68</v>
      </c>
      <c r="D24" s="118" t="n">
        <v>0.72</v>
      </c>
      <c r="E24" s="118" t="n">
        <v>0.77</v>
      </c>
      <c r="F24" s="118" t="n">
        <v>0.8100000000000001</v>
      </c>
      <c r="G24" s="118" t="inlineStr">
        <is>
          <t>-28.0%</t>
        </is>
      </c>
    </row>
    <row r="25" ht="13.05000019073486" customHeight="1" s="160">
      <c r="A25" s="119" t="n">
        <v>0.3</v>
      </c>
      <c r="B25" s="120" t="n">
        <v>0.68</v>
      </c>
      <c r="C25" s="120" t="n">
        <v>0.72</v>
      </c>
      <c r="D25" s="120" t="n">
        <v>0.75</v>
      </c>
      <c r="E25" s="120" t="n">
        <v>0.79</v>
      </c>
      <c r="F25" s="120" t="n">
        <v>0.83</v>
      </c>
      <c r="G25" s="120" t="inlineStr">
        <is>
          <t>-25.0%</t>
        </is>
      </c>
    </row>
    <row r="26" ht="13.05000019073486" customHeight="1" s="160">
      <c r="A26" s="117" t="n">
        <v>0.35</v>
      </c>
      <c r="B26" s="118" t="n">
        <v>0.71</v>
      </c>
      <c r="C26" s="118" t="n">
        <v>0.75</v>
      </c>
      <c r="D26" s="118" t="n">
        <v>0.78</v>
      </c>
      <c r="E26" s="118" t="n">
        <v>0.82</v>
      </c>
      <c r="F26" s="118" t="n">
        <v>0.85</v>
      </c>
      <c r="G26" s="118" t="inlineStr">
        <is>
          <t>-22.0%</t>
        </is>
      </c>
    </row>
    <row r="27" ht="13.05000019073486" customHeight="1" s="160">
      <c r="A27" s="119" t="n">
        <v>0.4</v>
      </c>
      <c r="B27" s="120" t="n">
        <v>0.74</v>
      </c>
      <c r="C27" s="120" t="n">
        <v>0.78</v>
      </c>
      <c r="D27" s="120" t="n">
        <v>0.8100000000000001</v>
      </c>
      <c r="E27" s="120" t="n">
        <v>0.84</v>
      </c>
      <c r="F27" s="120" t="n">
        <v>0.87</v>
      </c>
      <c r="G27" s="120" t="inlineStr">
        <is>
          <t>-19.0%</t>
        </is>
      </c>
    </row>
    <row r="28" ht="13.05000019073486" customHeight="1" s="160">
      <c r="A28" s="117" t="n">
        <v>0.45</v>
      </c>
      <c r="B28" s="118" t="n">
        <v>0.77</v>
      </c>
      <c r="C28" s="118" t="n">
        <v>0.8</v>
      </c>
      <c r="D28" s="118" t="n">
        <v>0.83</v>
      </c>
      <c r="E28" s="118" t="n">
        <v>0.86</v>
      </c>
      <c r="F28" s="118" t="n">
        <v>0.89</v>
      </c>
      <c r="G28" s="118" t="inlineStr">
        <is>
          <t>-17.0%</t>
        </is>
      </c>
    </row>
    <row r="29" ht="13.05000019073486" customHeight="1" s="160">
      <c r="A29" s="119" t="n">
        <v>0.5</v>
      </c>
      <c r="B29" s="120" t="n">
        <v>0.8</v>
      </c>
      <c r="C29" s="120" t="n">
        <v>0.82</v>
      </c>
      <c r="D29" s="120" t="n">
        <v>0.85</v>
      </c>
      <c r="E29" s="120" t="n">
        <v>0.88</v>
      </c>
      <c r="F29" s="120" t="n">
        <v>0.9</v>
      </c>
      <c r="G29" s="120" t="inlineStr">
        <is>
          <t>-15.0%</t>
        </is>
      </c>
    </row>
    <row r="30" ht="13.05000019073486" customHeight="1" s="160">
      <c r="A30" s="117" t="n">
        <v>0.55</v>
      </c>
      <c r="B30" s="118" t="n">
        <v>0.82</v>
      </c>
      <c r="C30" s="118" t="n">
        <v>0.85</v>
      </c>
      <c r="D30" s="118" t="n">
        <v>0.87</v>
      </c>
      <c r="E30" s="118" t="n">
        <v>0.89</v>
      </c>
      <c r="F30" s="118" t="n">
        <v>0.91</v>
      </c>
      <c r="G30" s="118" t="inlineStr">
        <is>
          <t>-13.0%</t>
        </is>
      </c>
    </row>
    <row r="31" ht="13.05000019073486" customHeight="1" s="160">
      <c r="A31" s="119" t="n">
        <v>0.6</v>
      </c>
      <c r="B31" s="120" t="n">
        <v>0.85</v>
      </c>
      <c r="C31" s="120" t="n">
        <v>0.87</v>
      </c>
      <c r="D31" s="120" t="n">
        <v>0.89</v>
      </c>
      <c r="E31" s="120" t="n">
        <v>0.91</v>
      </c>
      <c r="F31" s="120" t="n">
        <v>0.93</v>
      </c>
      <c r="G31" s="120" t="inlineStr">
        <is>
          <t>-11.0%</t>
        </is>
      </c>
    </row>
    <row r="32" ht="13.05000019073486" customHeight="1" s="160">
      <c r="A32" s="117" t="n">
        <v>0.65</v>
      </c>
      <c r="B32" s="118" t="n">
        <v>0.87</v>
      </c>
      <c r="C32" s="118" t="n">
        <v>0.89</v>
      </c>
      <c r="D32" s="118" t="n">
        <v>0.9</v>
      </c>
      <c r="E32" s="118" t="n">
        <v>0.92</v>
      </c>
      <c r="F32" s="118" t="n">
        <v>0.9399999999999999</v>
      </c>
      <c r="G32" s="118" t="inlineStr">
        <is>
          <t>-10.0%</t>
        </is>
      </c>
    </row>
    <row r="33" ht="13.05000019073486" customHeight="1" s="160">
      <c r="A33" s="119" t="n">
        <v>0.7</v>
      </c>
      <c r="B33" s="120" t="n">
        <v>0.89</v>
      </c>
      <c r="C33" s="120" t="n">
        <v>0.91</v>
      </c>
      <c r="D33" s="120" t="n">
        <v>0.92</v>
      </c>
      <c r="E33" s="120" t="n">
        <v>0.93</v>
      </c>
      <c r="F33" s="120" t="n">
        <v>0.95</v>
      </c>
      <c r="G33" s="120" t="inlineStr">
        <is>
          <t>-8.0%</t>
        </is>
      </c>
    </row>
    <row r="34" ht="13.05000019073486" customHeight="1" s="160">
      <c r="A34" s="117" t="n">
        <v>0.75</v>
      </c>
      <c r="B34" s="118" t="n">
        <v>0.91</v>
      </c>
      <c r="C34" s="118" t="n">
        <v>0.92</v>
      </c>
      <c r="D34" s="118" t="n">
        <v>0.93</v>
      </c>
      <c r="E34" s="118" t="n">
        <v>0.95</v>
      </c>
      <c r="F34" s="118" t="n">
        <v>0.96</v>
      </c>
      <c r="G34" s="118" t="inlineStr">
        <is>
          <t>-7.0%</t>
        </is>
      </c>
    </row>
    <row r="35" ht="13.05000019073486" customHeight="1" s="160">
      <c r="A35" s="119" t="n">
        <v>0.8</v>
      </c>
      <c r="B35" s="120" t="n">
        <v>0.93</v>
      </c>
      <c r="C35" s="120" t="n">
        <v>0.9399999999999999</v>
      </c>
      <c r="D35" s="120" t="n">
        <v>0.95</v>
      </c>
      <c r="E35" s="120" t="n">
        <v>0.96</v>
      </c>
      <c r="F35" s="120" t="n">
        <v>0.97</v>
      </c>
      <c r="G35" s="120" t="inlineStr">
        <is>
          <t>-5.0%</t>
        </is>
      </c>
    </row>
    <row r="36" ht="13.05000019073486" customHeight="1" s="160">
      <c r="A36" s="117" t="n">
        <v>0.85</v>
      </c>
      <c r="B36" s="118" t="n">
        <v>0.95</v>
      </c>
      <c r="C36" s="118" t="n">
        <v>0.96</v>
      </c>
      <c r="D36" s="118" t="n">
        <v>0.96</v>
      </c>
      <c r="E36" s="118" t="n">
        <v>0.97</v>
      </c>
      <c r="F36" s="118" t="n">
        <v>0.98</v>
      </c>
      <c r="G36" s="118" t="inlineStr">
        <is>
          <t>-4.0%</t>
        </is>
      </c>
    </row>
    <row r="37" ht="13.05000019073486" customHeight="1" s="160">
      <c r="A37" s="119" t="n">
        <v>0.9</v>
      </c>
      <c r="B37" s="120" t="n">
        <v>0.97</v>
      </c>
      <c r="C37" s="120" t="n">
        <v>0.97</v>
      </c>
      <c r="D37" s="120" t="n">
        <v>0.98</v>
      </c>
      <c r="E37" s="120" t="n">
        <v>0.98</v>
      </c>
      <c r="F37" s="120" t="n">
        <v>0.98</v>
      </c>
      <c r="G37" s="120" t="inlineStr">
        <is>
          <t>-2.0%</t>
        </is>
      </c>
    </row>
    <row r="38" ht="13.05000019073486" customHeight="1" s="160">
      <c r="A38" s="117" t="n">
        <v>0.95</v>
      </c>
      <c r="B38" s="118" t="n">
        <v>0.98</v>
      </c>
      <c r="C38" s="118" t="n">
        <v>0.99</v>
      </c>
      <c r="D38" s="118" t="n">
        <v>0.99</v>
      </c>
      <c r="E38" s="118" t="n">
        <v>0.99</v>
      </c>
      <c r="F38" s="118" t="n">
        <v>0.99</v>
      </c>
      <c r="G38" s="118" t="inlineStr">
        <is>
          <t>-1.0%</t>
        </is>
      </c>
    </row>
    <row r="39" ht="13.05000019073486" customHeight="1" s="160">
      <c r="A39" s="119" t="n">
        <v>1</v>
      </c>
      <c r="B39" s="120" t="n">
        <v>1</v>
      </c>
      <c r="C39" s="120" t="n">
        <v>1</v>
      </c>
      <c r="D39" s="120" t="n">
        <v>1</v>
      </c>
      <c r="E39" s="120" t="n">
        <v>1</v>
      </c>
      <c r="F39" s="120" t="n">
        <v>1</v>
      </c>
      <c r="G39" s="120" t="inlineStr">
        <is>
          <t>+0.0%</t>
        </is>
      </c>
    </row>
    <row r="40" ht="13.05000019073486" customHeight="1" s="160">
      <c r="A40" s="117" t="n">
        <v>1.1</v>
      </c>
      <c r="B40" s="118" t="n">
        <v>1.03</v>
      </c>
      <c r="C40" s="118" t="n">
        <v>1.03</v>
      </c>
      <c r="D40" s="118" t="n">
        <v>1.02</v>
      </c>
      <c r="E40" s="118" t="n">
        <v>1.02</v>
      </c>
      <c r="F40" s="118" t="n">
        <v>1.01</v>
      </c>
      <c r="G40" s="118" t="inlineStr">
        <is>
          <t>+2.0%</t>
        </is>
      </c>
    </row>
    <row r="41" ht="13.05000019073486" customHeight="1" s="160">
      <c r="A41" s="119" t="n">
        <v>1.2</v>
      </c>
      <c r="B41" s="120" t="n">
        <v>1.06</v>
      </c>
      <c r="C41" s="120" t="n">
        <v>1.05</v>
      </c>
      <c r="D41" s="120" t="n">
        <v>1.04</v>
      </c>
      <c r="E41" s="120" t="n">
        <v>1.04</v>
      </c>
      <c r="F41" s="120" t="n">
        <v>1.03</v>
      </c>
      <c r="G41" s="120" t="inlineStr">
        <is>
          <t>+4.0%</t>
        </is>
      </c>
    </row>
    <row r="42" ht="13.05000019073486" customHeight="1" s="160">
      <c r="A42" s="117" t="n">
        <v>1.3</v>
      </c>
      <c r="B42" s="118" t="n">
        <v>1.09</v>
      </c>
      <c r="C42" s="118" t="n">
        <v>1.08</v>
      </c>
      <c r="D42" s="118" t="n">
        <v>1.06</v>
      </c>
      <c r="E42" s="118" t="n">
        <v>1.05</v>
      </c>
      <c r="F42" s="118" t="n">
        <v>1.04</v>
      </c>
      <c r="G42" s="118" t="inlineStr">
        <is>
          <t>+6.0%</t>
        </is>
      </c>
    </row>
    <row r="43" ht="13.05000019073486" customHeight="1" s="160">
      <c r="A43" s="119" t="n">
        <v>1.4</v>
      </c>
      <c r="B43" s="120" t="n">
        <v>1.11</v>
      </c>
      <c r="C43" s="120" t="n">
        <v>1.1</v>
      </c>
      <c r="D43" s="120" t="n">
        <v>1.08</v>
      </c>
      <c r="E43" s="120" t="n">
        <v>1.07</v>
      </c>
      <c r="F43" s="120" t="n">
        <v>1.05</v>
      </c>
      <c r="G43" s="120" t="inlineStr">
        <is>
          <t>+8.0%</t>
        </is>
      </c>
    </row>
    <row r="44" ht="13.05000019073486" customHeight="1" s="160">
      <c r="A44" s="117" t="n">
        <v>1.5</v>
      </c>
      <c r="B44" s="118" t="n">
        <v>1.14</v>
      </c>
      <c r="C44" s="118" t="n">
        <v>1.12</v>
      </c>
      <c r="D44" s="118" t="n">
        <v>1.1</v>
      </c>
      <c r="E44" s="118" t="n">
        <v>1.08</v>
      </c>
      <c r="F44" s="118" t="n">
        <v>1.06</v>
      </c>
      <c r="G44" s="118" t="inlineStr">
        <is>
          <t>+10.0%</t>
        </is>
      </c>
    </row>
    <row r="45" ht="13.05000019073486" customHeight="1" s="160">
      <c r="A45" s="119" t="n">
        <v>1.6</v>
      </c>
      <c r="B45" s="120" t="n">
        <v>1.16</v>
      </c>
      <c r="C45" s="120" t="n">
        <v>1.14</v>
      </c>
      <c r="D45" s="120" t="n">
        <v>1.12</v>
      </c>
      <c r="E45" s="120" t="n">
        <v>1.09</v>
      </c>
      <c r="F45" s="120" t="n">
        <v>1.07</v>
      </c>
      <c r="G45" s="120" t="inlineStr">
        <is>
          <t>+12.0%</t>
        </is>
      </c>
    </row>
    <row r="46" ht="13.05000019073486" customHeight="1" s="160">
      <c r="A46" s="117" t="n">
        <v>1.7</v>
      </c>
      <c r="B46" s="118" t="n">
        <v>1.19</v>
      </c>
      <c r="C46" s="118" t="n">
        <v>1.16</v>
      </c>
      <c r="D46" s="118" t="n">
        <v>1.13</v>
      </c>
      <c r="E46" s="118" t="n">
        <v>1.11</v>
      </c>
      <c r="F46" s="118" t="n">
        <v>1.08</v>
      </c>
      <c r="G46" s="118" t="inlineStr">
        <is>
          <t>+13.0%</t>
        </is>
      </c>
    </row>
    <row r="47" ht="13.05000019073486" customHeight="1" s="160">
      <c r="A47" s="119" t="n">
        <v>1.8</v>
      </c>
      <c r="B47" s="120" t="n">
        <v>1.21</v>
      </c>
      <c r="C47" s="120" t="n">
        <v>1.18</v>
      </c>
      <c r="D47" s="120" t="n">
        <v>1.15</v>
      </c>
      <c r="E47" s="120" t="n">
        <v>1.12</v>
      </c>
      <c r="F47" s="120" t="n">
        <v>1.09</v>
      </c>
      <c r="G47" s="120" t="inlineStr">
        <is>
          <t>+15.0%</t>
        </is>
      </c>
    </row>
    <row r="48" ht="13.05000019073486" customHeight="1" s="160">
      <c r="A48" s="117" t="n">
        <v>1.9</v>
      </c>
      <c r="B48" s="118" t="n">
        <v>1.23</v>
      </c>
      <c r="C48" s="118" t="n">
        <v>1.19</v>
      </c>
      <c r="D48" s="118" t="n">
        <v>1.16</v>
      </c>
      <c r="E48" s="118" t="n">
        <v>1.13</v>
      </c>
      <c r="F48" s="118" t="n">
        <v>1.1</v>
      </c>
      <c r="G48" s="118" t="inlineStr">
        <is>
          <t>+16.0%</t>
        </is>
      </c>
    </row>
    <row r="49" ht="13.05000019073486" customHeight="1" s="160">
      <c r="A49" s="119" t="n">
        <v>2</v>
      </c>
      <c r="B49" s="120" t="n">
        <v>1.25</v>
      </c>
      <c r="C49" s="120" t="n">
        <v>1.21</v>
      </c>
      <c r="D49" s="120" t="n">
        <v>1.18</v>
      </c>
      <c r="E49" s="120" t="n">
        <v>1.14</v>
      </c>
      <c r="F49" s="120" t="n">
        <v>1.11</v>
      </c>
      <c r="G49" s="120" t="inlineStr">
        <is>
          <t>+18.0%</t>
        </is>
      </c>
    </row>
    <row r="50" ht="13.05000019073486" customHeight="1" s="160">
      <c r="A50" s="117" t="n">
        <v>2.1</v>
      </c>
      <c r="B50" s="118" t="n">
        <v>1.27</v>
      </c>
      <c r="C50" s="118" t="n">
        <v>1.23</v>
      </c>
      <c r="D50" s="118" t="n">
        <v>1.19</v>
      </c>
      <c r="E50" s="118" t="n">
        <v>1.15</v>
      </c>
      <c r="F50" s="118" t="n">
        <v>1.12</v>
      </c>
      <c r="G50" s="118" t="inlineStr">
        <is>
          <t>+19.0%</t>
        </is>
      </c>
    </row>
    <row r="51" ht="13.05000019073486" customHeight="1" s="160">
      <c r="A51" s="119" t="n">
        <v>2.2</v>
      </c>
      <c r="B51" s="120" t="n">
        <v>1.29</v>
      </c>
      <c r="C51" s="120" t="n">
        <v>1.24</v>
      </c>
      <c r="D51" s="120" t="n">
        <v>1.2</v>
      </c>
      <c r="E51" s="120" t="n">
        <v>1.16</v>
      </c>
      <c r="F51" s="120" t="n">
        <v>1.13</v>
      </c>
      <c r="G51" s="120" t="inlineStr">
        <is>
          <t>+20.0%</t>
        </is>
      </c>
    </row>
    <row r="52" ht="13.05000019073486" customHeight="1" s="160">
      <c r="A52" s="117" t="n">
        <v>2.3</v>
      </c>
      <c r="B52" s="118" t="n">
        <v>1.31</v>
      </c>
      <c r="C52" s="118" t="n">
        <v>1.26</v>
      </c>
      <c r="D52" s="118" t="n">
        <v>1.22</v>
      </c>
      <c r="E52" s="118" t="n">
        <v>1.17</v>
      </c>
      <c r="F52" s="118" t="n">
        <v>1.13</v>
      </c>
      <c r="G52" s="118" t="inlineStr">
        <is>
          <t>+22.0%</t>
        </is>
      </c>
    </row>
    <row r="53" ht="13.05000019073486" customHeight="1" s="160">
      <c r="A53" s="119" t="n">
        <v>2.4</v>
      </c>
      <c r="B53" s="120" t="n">
        <v>1.33</v>
      </c>
      <c r="C53" s="120" t="n">
        <v>1.28</v>
      </c>
      <c r="D53" s="120" t="n">
        <v>1.23</v>
      </c>
      <c r="E53" s="120" t="n">
        <v>1.18</v>
      </c>
      <c r="F53" s="120" t="n">
        <v>1.14</v>
      </c>
      <c r="G53" s="120" t="inlineStr">
        <is>
          <t>+23.0%</t>
        </is>
      </c>
    </row>
    <row r="54" ht="13.05000019073486" customHeight="1" s="160">
      <c r="A54" s="117" t="n">
        <v>2.5</v>
      </c>
      <c r="B54" s="118" t="n">
        <v>1.34</v>
      </c>
      <c r="C54" s="118" t="n">
        <v>1.29</v>
      </c>
      <c r="D54" s="118" t="n">
        <v>1.24</v>
      </c>
      <c r="E54" s="118" t="n">
        <v>1.19</v>
      </c>
      <c r="F54" s="118" t="n">
        <v>1.15</v>
      </c>
      <c r="G54" s="118" t="inlineStr">
        <is>
          <t>+24.0%</t>
        </is>
      </c>
    </row>
    <row r="55" ht="13.05000019073486" customHeight="1" s="160">
      <c r="A55" s="119" t="n">
        <v>2.6</v>
      </c>
      <c r="B55" s="120" t="n">
        <v>1.36</v>
      </c>
      <c r="C55" s="120" t="n">
        <v>1.3</v>
      </c>
      <c r="D55" s="120" t="n">
        <v>1.25</v>
      </c>
      <c r="E55" s="120" t="n">
        <v>1.2</v>
      </c>
      <c r="F55" s="120" t="n">
        <v>1.16</v>
      </c>
      <c r="G55" s="120" t="inlineStr">
        <is>
          <t>+25.0%</t>
        </is>
      </c>
    </row>
    <row r="56" ht="13.05000019073486" customHeight="1" s="160">
      <c r="A56" s="117" t="n">
        <v>2.7</v>
      </c>
      <c r="B56" s="118" t="n">
        <v>1.38</v>
      </c>
      <c r="C56" s="118" t="n">
        <v>1.32</v>
      </c>
      <c r="D56" s="118" t="n">
        <v>1.26</v>
      </c>
      <c r="E56" s="118" t="n">
        <v>1.21</v>
      </c>
      <c r="F56" s="118" t="n">
        <v>1.16</v>
      </c>
      <c r="G56" s="118" t="inlineStr">
        <is>
          <t>+26.0%</t>
        </is>
      </c>
    </row>
    <row r="57" ht="13.05000019073486" customHeight="1" s="160">
      <c r="A57" s="119" t="n">
        <v>2.8</v>
      </c>
      <c r="B57" s="120" t="n">
        <v>1.39</v>
      </c>
      <c r="C57" s="120" t="n">
        <v>1.33</v>
      </c>
      <c r="D57" s="120" t="n">
        <v>1.27</v>
      </c>
      <c r="E57" s="120" t="n">
        <v>1.22</v>
      </c>
      <c r="F57" s="120" t="n">
        <v>1.17</v>
      </c>
      <c r="G57" s="120" t="inlineStr">
        <is>
          <t>+27.0%</t>
        </is>
      </c>
    </row>
    <row r="58" ht="13.05000019073486" customHeight="1" s="160">
      <c r="A58" s="117" t="n">
        <v>2.9</v>
      </c>
      <c r="B58" s="118" t="n">
        <v>1.41</v>
      </c>
      <c r="C58" s="118" t="n">
        <v>1.34</v>
      </c>
      <c r="D58" s="118" t="n">
        <v>1.28</v>
      </c>
      <c r="E58" s="118" t="n">
        <v>1.23</v>
      </c>
      <c r="F58" s="118" t="n">
        <v>1.18</v>
      </c>
      <c r="G58" s="118" t="inlineStr">
        <is>
          <t>+28.0%</t>
        </is>
      </c>
    </row>
    <row r="59" ht="13.05000019073486" customHeight="1" s="160">
      <c r="A59" s="119" t="n">
        <v>3</v>
      </c>
      <c r="B59" s="120" t="n">
        <v>1.42</v>
      </c>
      <c r="C59" s="120" t="n">
        <v>1.36</v>
      </c>
      <c r="D59" s="120" t="n">
        <v>1.29</v>
      </c>
      <c r="E59" s="120" t="n">
        <v>1.24</v>
      </c>
      <c r="F59" s="120" t="n">
        <v>1.18</v>
      </c>
      <c r="G59" s="120" t="inlineStr">
        <is>
          <t>+29.0%</t>
        </is>
      </c>
    </row>
    <row r="60" ht="13.05000019073486" customHeight="1" s="160">
      <c r="A60" s="117" t="n">
        <v>3.1</v>
      </c>
      <c r="B60" s="118" t="n">
        <v>1.44</v>
      </c>
      <c r="C60" s="118" t="n">
        <v>1.37</v>
      </c>
      <c r="D60" s="118" t="n">
        <v>1.3</v>
      </c>
      <c r="E60" s="118" t="n">
        <v>1.24</v>
      </c>
      <c r="F60" s="118" t="n">
        <v>1.19</v>
      </c>
      <c r="G60" s="118" t="inlineStr">
        <is>
          <t>+30.0%</t>
        </is>
      </c>
    </row>
    <row r="61" ht="13.05000019073486" customHeight="1" s="160">
      <c r="A61" s="119" t="n">
        <v>3.2</v>
      </c>
      <c r="B61" s="120" t="n">
        <v>1.45</v>
      </c>
      <c r="C61" s="120" t="n">
        <v>1.38</v>
      </c>
      <c r="D61" s="120" t="n">
        <v>1.31</v>
      </c>
      <c r="E61" s="120" t="n">
        <v>1.25</v>
      </c>
      <c r="F61" s="120" t="n">
        <v>1.19</v>
      </c>
      <c r="G61" s="120" t="inlineStr">
        <is>
          <t>+31.0%</t>
        </is>
      </c>
    </row>
    <row r="62" ht="13.05000019073486" customHeight="1" s="160">
      <c r="A62" s="117" t="n">
        <v>3.3</v>
      </c>
      <c r="B62" s="118" t="n">
        <v>1.47</v>
      </c>
      <c r="C62" s="118" t="n">
        <v>1.39</v>
      </c>
      <c r="D62" s="118" t="n">
        <v>1.32</v>
      </c>
      <c r="E62" s="118" t="n">
        <v>1.26</v>
      </c>
      <c r="F62" s="118" t="n">
        <v>1.2</v>
      </c>
      <c r="G62" s="118" t="inlineStr">
        <is>
          <t>+32.0%</t>
        </is>
      </c>
    </row>
    <row r="63" ht="13.05000019073486" customHeight="1" s="160">
      <c r="A63" s="119" t="n">
        <v>3.4</v>
      </c>
      <c r="B63" s="120" t="n">
        <v>1.48</v>
      </c>
      <c r="C63" s="120" t="n">
        <v>1.4</v>
      </c>
      <c r="D63" s="120" t="n">
        <v>1.33</v>
      </c>
      <c r="E63" s="120" t="n">
        <v>1.27</v>
      </c>
      <c r="F63" s="120" t="n">
        <v>1.2</v>
      </c>
      <c r="G63" s="120" t="inlineStr">
        <is>
          <t>+33.0%</t>
        </is>
      </c>
    </row>
    <row r="64" ht="13.05000019073486" customHeight="1" s="160">
      <c r="A64" s="117" t="n">
        <v>3.5</v>
      </c>
      <c r="B64" s="118" t="n">
        <v>1.5</v>
      </c>
      <c r="C64" s="118" t="n">
        <v>1.42</v>
      </c>
      <c r="D64" s="118" t="n">
        <v>1.34</v>
      </c>
      <c r="E64" s="118" t="n">
        <v>1.27</v>
      </c>
      <c r="F64" s="118" t="n">
        <v>1.21</v>
      </c>
      <c r="G64" s="118" t="inlineStr">
        <is>
          <t>+34.0%</t>
        </is>
      </c>
    </row>
    <row r="65" ht="13.05000019073486" customHeight="1" s="160">
      <c r="A65" s="119" t="n">
        <v>3.6</v>
      </c>
      <c r="B65" s="120" t="n">
        <v>1.51</v>
      </c>
      <c r="C65" s="120" t="n">
        <v>1.43</v>
      </c>
      <c r="D65" s="120" t="n">
        <v>1.35</v>
      </c>
      <c r="E65" s="120" t="n">
        <v>1.28</v>
      </c>
      <c r="F65" s="120" t="n">
        <v>1.21</v>
      </c>
      <c r="G65" s="120" t="inlineStr">
        <is>
          <t>+35.0%</t>
        </is>
      </c>
    </row>
    <row r="66" ht="13.05000019073486" customHeight="1" s="160">
      <c r="A66" s="117" t="n">
        <v>3.7</v>
      </c>
      <c r="B66" s="118" t="n">
        <v>1.52</v>
      </c>
      <c r="C66" s="118" t="n">
        <v>1.44</v>
      </c>
      <c r="D66" s="118" t="n">
        <v>1.36</v>
      </c>
      <c r="E66" s="118" t="n">
        <v>1.29</v>
      </c>
      <c r="F66" s="118" t="n">
        <v>1.22</v>
      </c>
      <c r="G66" s="118" t="inlineStr">
        <is>
          <t>+36.0%</t>
        </is>
      </c>
    </row>
    <row r="67" ht="13.05000019073486" customHeight="1" s="160">
      <c r="A67" s="119" t="n">
        <v>3.8</v>
      </c>
      <c r="B67" s="120" t="n">
        <v>1.54</v>
      </c>
      <c r="C67" s="120" t="n">
        <v>1.45</v>
      </c>
      <c r="D67" s="120" t="n">
        <v>1.37</v>
      </c>
      <c r="E67" s="120" t="n">
        <v>1.29</v>
      </c>
      <c r="F67" s="120" t="n">
        <v>1.22</v>
      </c>
      <c r="G67" s="120" t="inlineStr">
        <is>
          <t>+37.0%</t>
        </is>
      </c>
    </row>
    <row r="68" ht="13.05000019073486" customHeight="1" s="160">
      <c r="A68" s="117" t="n">
        <v>3.9</v>
      </c>
      <c r="B68" s="118" t="n">
        <v>1.55</v>
      </c>
      <c r="C68" s="118" t="n">
        <v>1.46</v>
      </c>
      <c r="D68" s="118" t="n">
        <v>1.38</v>
      </c>
      <c r="E68" s="118" t="n">
        <v>1.3</v>
      </c>
      <c r="F68" s="118" t="n">
        <v>1.23</v>
      </c>
      <c r="G68" s="118" t="inlineStr">
        <is>
          <t>+38.0%</t>
        </is>
      </c>
    </row>
    <row r="69" ht="13.05000019073486" customHeight="1" s="160">
      <c r="A69" s="119" t="n">
        <v>4</v>
      </c>
      <c r="B69" s="120" t="n">
        <v>1.56</v>
      </c>
      <c r="C69" s="120" t="n">
        <v>1.47</v>
      </c>
      <c r="D69" s="120" t="n">
        <v>1.39</v>
      </c>
      <c r="E69" s="120" t="n">
        <v>1.31</v>
      </c>
      <c r="F69" s="120" t="n">
        <v>1.23</v>
      </c>
      <c r="G69" s="120" t="inlineStr">
        <is>
          <t>+39.0%</t>
        </is>
      </c>
    </row>
    <row r="70" ht="13.05000019073486" customHeight="1" s="160">
      <c r="A70" s="117" t="n">
        <v>4.1</v>
      </c>
      <c r="B70" s="118" t="n">
        <v>1.58</v>
      </c>
      <c r="C70" s="118" t="n">
        <v>1.48</v>
      </c>
      <c r="D70" s="118" t="n">
        <v>1.39</v>
      </c>
      <c r="E70" s="118" t="n">
        <v>1.31</v>
      </c>
      <c r="F70" s="118" t="n">
        <v>1.24</v>
      </c>
      <c r="G70" s="118" t="inlineStr">
        <is>
          <t>+39.0%</t>
        </is>
      </c>
    </row>
    <row r="71" ht="13.05000019073486" customHeight="1" s="160">
      <c r="A71" s="119" t="n">
        <v>4.2</v>
      </c>
      <c r="B71" s="120" t="n">
        <v>1.59</v>
      </c>
      <c r="C71" s="120" t="n">
        <v>1.49</v>
      </c>
      <c r="D71" s="120" t="n">
        <v>1.4</v>
      </c>
      <c r="E71" s="120" t="n">
        <v>1.32</v>
      </c>
      <c r="F71" s="120" t="n">
        <v>1.24</v>
      </c>
      <c r="G71" s="120" t="inlineStr">
        <is>
          <t>+40.0%</t>
        </is>
      </c>
    </row>
    <row r="72" ht="13.05000019073486" customHeight="1" s="160">
      <c r="A72" s="117" t="n">
        <v>4.3</v>
      </c>
      <c r="B72" s="118" t="n">
        <v>1.6</v>
      </c>
      <c r="C72" s="118" t="n">
        <v>1.5</v>
      </c>
      <c r="D72" s="118" t="n">
        <v>1.41</v>
      </c>
      <c r="E72" s="118" t="n">
        <v>1.32</v>
      </c>
      <c r="F72" s="118" t="n">
        <v>1.25</v>
      </c>
      <c r="G72" s="118" t="inlineStr">
        <is>
          <t>+41.0%</t>
        </is>
      </c>
    </row>
    <row r="73" ht="13.05000019073486" customHeight="1" s="160">
      <c r="A73" s="119" t="n">
        <v>4.4</v>
      </c>
      <c r="B73" s="120" t="n">
        <v>1.61</v>
      </c>
      <c r="C73" s="120" t="n">
        <v>1.51</v>
      </c>
      <c r="D73" s="120" t="n">
        <v>1.42</v>
      </c>
      <c r="E73" s="120" t="n">
        <v>1.33</v>
      </c>
      <c r="F73" s="120" t="n">
        <v>1.25</v>
      </c>
      <c r="G73" s="120" t="inlineStr">
        <is>
          <t>+42.0%</t>
        </is>
      </c>
    </row>
    <row r="74" ht="13.05000019073486" customHeight="1" s="160">
      <c r="A74" s="117" t="n">
        <v>4.5</v>
      </c>
      <c r="B74" s="118" t="n">
        <v>1.62</v>
      </c>
      <c r="C74" s="118" t="n">
        <v>1.52</v>
      </c>
      <c r="D74" s="118" t="n">
        <v>1.42</v>
      </c>
      <c r="E74" s="118" t="n">
        <v>1.34</v>
      </c>
      <c r="F74" s="118" t="n">
        <v>1.26</v>
      </c>
      <c r="G74" s="118" t="inlineStr">
        <is>
          <t>+42.0%</t>
        </is>
      </c>
    </row>
    <row r="75" ht="13.05000019073486" customHeight="1" s="160">
      <c r="A75" s="119" t="n">
        <v>4.6</v>
      </c>
      <c r="B75" s="120" t="n">
        <v>1.63</v>
      </c>
      <c r="C75" s="120" t="n">
        <v>1.53</v>
      </c>
      <c r="D75" s="120" t="n">
        <v>1.43</v>
      </c>
      <c r="E75" s="120" t="n">
        <v>1.34</v>
      </c>
      <c r="F75" s="120" t="n">
        <v>1.26</v>
      </c>
      <c r="G75" s="120" t="inlineStr">
        <is>
          <t>+43.0%</t>
        </is>
      </c>
    </row>
    <row r="76" ht="13.05000019073486" customHeight="1" s="160">
      <c r="A76" s="117" t="n">
        <v>4.7</v>
      </c>
      <c r="B76" s="118" t="n">
        <v>1.65</v>
      </c>
      <c r="C76" s="118" t="n">
        <v>1.54</v>
      </c>
      <c r="D76" s="118" t="n">
        <v>1.44</v>
      </c>
      <c r="E76" s="118" t="n">
        <v>1.35</v>
      </c>
      <c r="F76" s="118" t="n">
        <v>1.27</v>
      </c>
      <c r="G76" s="118" t="inlineStr">
        <is>
          <t>+44.0%</t>
        </is>
      </c>
    </row>
    <row r="77" ht="13.05000019073486" customHeight="1" s="160">
      <c r="A77" s="119" t="n">
        <v>4.8</v>
      </c>
      <c r="B77" s="120" t="n">
        <v>1.66</v>
      </c>
      <c r="C77" s="120" t="n">
        <v>1.55</v>
      </c>
      <c r="D77" s="120" t="n">
        <v>1.45</v>
      </c>
      <c r="E77" s="120" t="n">
        <v>1.35</v>
      </c>
      <c r="F77" s="120" t="n">
        <v>1.27</v>
      </c>
      <c r="G77" s="120" t="inlineStr">
        <is>
          <t>+45.0%</t>
        </is>
      </c>
    </row>
    <row r="78" ht="13.05000019073486" customHeight="1" s="160">
      <c r="A78" s="117" t="n">
        <v>4.9</v>
      </c>
      <c r="B78" s="118" t="n">
        <v>1.67</v>
      </c>
      <c r="C78" s="118" t="n">
        <v>1.55</v>
      </c>
      <c r="D78" s="118" t="n">
        <v>1.45</v>
      </c>
      <c r="E78" s="118" t="n">
        <v>1.36</v>
      </c>
      <c r="F78" s="118" t="n">
        <v>1.27</v>
      </c>
      <c r="G78" s="118" t="inlineStr">
        <is>
          <t>+45.0%</t>
        </is>
      </c>
    </row>
    <row r="79" ht="13.05000019073486" customHeight="1" s="160">
      <c r="A79" s="119" t="n">
        <v>5</v>
      </c>
      <c r="B79" s="120" t="n">
        <v>1.68</v>
      </c>
      <c r="C79" s="120" t="n">
        <v>1.56</v>
      </c>
      <c r="D79" s="120" t="n">
        <v>1.46</v>
      </c>
      <c r="E79" s="120" t="n">
        <v>1.36</v>
      </c>
      <c r="F79" s="120" t="n">
        <v>1.28</v>
      </c>
      <c r="G79" s="120" t="inlineStr">
        <is>
          <t>+46.0%</t>
        </is>
      </c>
    </row>
    <row r="80" ht="13.05000019073486" customHeight="1" s="160">
      <c r="A80" s="117" t="n">
        <v>5.5</v>
      </c>
      <c r="B80" s="118" t="n">
        <v>1.73</v>
      </c>
      <c r="C80" s="118" t="n">
        <v>1.61</v>
      </c>
      <c r="D80" s="118" t="n">
        <v>1.49</v>
      </c>
      <c r="E80" s="118" t="n">
        <v>1.39</v>
      </c>
      <c r="F80" s="118" t="n">
        <v>1.3</v>
      </c>
      <c r="G80" s="118" t="inlineStr">
        <is>
          <t>+49.0%</t>
        </is>
      </c>
    </row>
    <row r="81" ht="13.05000019073486" customHeight="1" s="160">
      <c r="A81" s="119" t="n">
        <v>6</v>
      </c>
      <c r="B81" s="120" t="n">
        <v>1.78</v>
      </c>
      <c r="C81" s="120" t="n">
        <v>1.64</v>
      </c>
      <c r="D81" s="120" t="n">
        <v>1.52</v>
      </c>
      <c r="E81" s="120" t="n">
        <v>1.41</v>
      </c>
      <c r="F81" s="120" t="n">
        <v>1.31</v>
      </c>
      <c r="G81" s="120" t="inlineStr">
        <is>
          <t>+52.0%</t>
        </is>
      </c>
    </row>
    <row r="82" ht="13.05000019073486" customHeight="1" s="160">
      <c r="A82" s="117" t="n">
        <v>6.5</v>
      </c>
      <c r="B82" s="118" t="n">
        <v>1.83</v>
      </c>
      <c r="C82" s="118" t="n">
        <v>1.68</v>
      </c>
      <c r="D82" s="118" t="n">
        <v>1.55</v>
      </c>
      <c r="E82" s="118" t="n">
        <v>1.43</v>
      </c>
      <c r="F82" s="118" t="n">
        <v>1.33</v>
      </c>
      <c r="G82" s="118" t="inlineStr">
        <is>
          <t>+55.0%</t>
        </is>
      </c>
    </row>
    <row r="83" ht="13.05000019073486" customHeight="1" s="160">
      <c r="A83" s="119" t="n">
        <v>7</v>
      </c>
      <c r="B83" s="120" t="n">
        <v>1.87</v>
      </c>
      <c r="C83" s="120" t="n">
        <v>1.72</v>
      </c>
      <c r="D83" s="120" t="n">
        <v>1.58</v>
      </c>
      <c r="E83" s="120" t="n">
        <v>1.45</v>
      </c>
      <c r="F83" s="120" t="n">
        <v>1.34</v>
      </c>
      <c r="G83" s="120" t="inlineStr">
        <is>
          <t>+58.0%</t>
        </is>
      </c>
    </row>
    <row r="84" ht="13.05000019073486" customHeight="1" s="160">
      <c r="A84" s="117" t="n">
        <v>7.5</v>
      </c>
      <c r="B84" s="118" t="n">
        <v>1.91</v>
      </c>
      <c r="C84" s="118" t="n">
        <v>1.75</v>
      </c>
      <c r="D84" s="118" t="n">
        <v>1.61</v>
      </c>
      <c r="E84" s="118" t="n">
        <v>1.47</v>
      </c>
      <c r="F84" s="118" t="n">
        <v>1.36</v>
      </c>
      <c r="G84" s="118" t="inlineStr">
        <is>
          <t>+61.0%</t>
        </is>
      </c>
    </row>
    <row r="85" ht="13.05000019073486" customHeight="1" s="160">
      <c r="A85" s="119" t="n">
        <v>8</v>
      </c>
      <c r="B85" s="120" t="n">
        <v>1.95</v>
      </c>
      <c r="C85" s="120" t="n">
        <v>1.78</v>
      </c>
      <c r="D85" s="120" t="n">
        <v>1.63</v>
      </c>
      <c r="E85" s="120" t="n">
        <v>1.49</v>
      </c>
      <c r="F85" s="120" t="n">
        <v>1.37</v>
      </c>
      <c r="G85" s="120" t="inlineStr">
        <is>
          <t>+63.0%</t>
        </is>
      </c>
    </row>
    <row r="86" ht="13.05000019073486" customHeight="1" s="160">
      <c r="A86" s="117" t="n">
        <v>8.5</v>
      </c>
      <c r="B86" s="118" t="n">
        <v>1.99</v>
      </c>
      <c r="C86" s="118" t="n">
        <v>1.81</v>
      </c>
      <c r="D86" s="118" t="n">
        <v>1.65</v>
      </c>
      <c r="E86" s="118" t="n">
        <v>1.51</v>
      </c>
      <c r="F86" s="118" t="n">
        <v>1.38</v>
      </c>
      <c r="G86" s="118" t="inlineStr">
        <is>
          <t>+65.0%</t>
        </is>
      </c>
    </row>
    <row r="87" ht="13.05000019073486" customHeight="1" s="160">
      <c r="A87" s="119" t="n">
        <v>9</v>
      </c>
      <c r="B87" s="120" t="n">
        <v>2.03</v>
      </c>
      <c r="C87" s="120" t="n">
        <v>1.84</v>
      </c>
      <c r="D87" s="120" t="n">
        <v>1.68</v>
      </c>
      <c r="E87" s="120" t="n">
        <v>1.53</v>
      </c>
      <c r="F87" s="120" t="n">
        <v>1.4</v>
      </c>
      <c r="G87" s="120" t="inlineStr">
        <is>
          <t>+68.0%</t>
        </is>
      </c>
    </row>
    <row r="88" ht="13.05000019073486" customHeight="1" s="160">
      <c r="A88" s="117" t="n">
        <v>9.5</v>
      </c>
      <c r="B88" s="118" t="n">
        <v>2.06</v>
      </c>
      <c r="C88" s="118" t="n">
        <v>1.87</v>
      </c>
      <c r="D88" s="118" t="n">
        <v>1.7</v>
      </c>
      <c r="E88" s="118" t="n">
        <v>1.54</v>
      </c>
      <c r="F88" s="118" t="n">
        <v>1.41</v>
      </c>
      <c r="G88" s="118" t="inlineStr">
        <is>
          <t>+70.0%</t>
        </is>
      </c>
    </row>
    <row r="89" ht="13.05000019073486" customHeight="1" s="160">
      <c r="A89" s="119" t="n">
        <v>10</v>
      </c>
      <c r="B89" s="120" t="n">
        <v>2.1</v>
      </c>
      <c r="C89" s="120" t="n">
        <v>1.89</v>
      </c>
      <c r="D89" s="120" t="n">
        <v>1.72</v>
      </c>
      <c r="E89" s="120" t="n">
        <v>1.56</v>
      </c>
      <c r="F89" s="120" t="n">
        <v>1.42</v>
      </c>
      <c r="G89" s="120" t="inlineStr">
        <is>
          <t>+72.0%</t>
        </is>
      </c>
    </row>
    <row r="90" ht="13.05000019073486" customHeight="1" s="160">
      <c r="A90" s="117" t="n">
        <v>11</v>
      </c>
      <c r="B90" s="118" t="n">
        <v>2.16</v>
      </c>
      <c r="C90" s="118" t="n">
        <v>1.95</v>
      </c>
      <c r="D90" s="118" t="n">
        <v>1.76</v>
      </c>
      <c r="E90" s="118" t="n">
        <v>1.59</v>
      </c>
      <c r="F90" s="118" t="n">
        <v>1.44</v>
      </c>
      <c r="G90" s="118" t="inlineStr">
        <is>
          <t>+76.0%</t>
        </is>
      </c>
    </row>
    <row r="91" ht="13.05000019073486" customHeight="1" s="160">
      <c r="A91" s="119" t="n">
        <v>12</v>
      </c>
      <c r="B91" s="120" t="n">
        <v>2.23</v>
      </c>
      <c r="C91" s="120" t="n">
        <v>1.99</v>
      </c>
      <c r="D91" s="120" t="n">
        <v>1.79</v>
      </c>
      <c r="E91" s="120" t="n">
        <v>1.61</v>
      </c>
      <c r="F91" s="120" t="n">
        <v>1.46</v>
      </c>
      <c r="G91" s="120" t="inlineStr">
        <is>
          <t>+79.0%</t>
        </is>
      </c>
    </row>
    <row r="92" ht="13.05000019073486" customHeight="1" s="160">
      <c r="A92" s="117" t="n">
        <v>13</v>
      </c>
      <c r="B92" s="118" t="n">
        <v>2.28</v>
      </c>
      <c r="C92" s="118" t="n">
        <v>2.04</v>
      </c>
      <c r="D92" s="118" t="n">
        <v>1.83</v>
      </c>
      <c r="E92" s="118" t="n">
        <v>1.64</v>
      </c>
      <c r="F92" s="118" t="n">
        <v>1.48</v>
      </c>
      <c r="G92" s="118" t="inlineStr">
        <is>
          <t>+83.0%</t>
        </is>
      </c>
    </row>
    <row r="93" ht="13.05000019073486" customHeight="1" s="160">
      <c r="A93" s="119" t="n">
        <v>14</v>
      </c>
      <c r="B93" s="120" t="n">
        <v>2.34</v>
      </c>
      <c r="C93" s="120" t="n">
        <v>2.08</v>
      </c>
      <c r="D93" s="120" t="n">
        <v>1.86</v>
      </c>
      <c r="E93" s="120" t="n">
        <v>1.66</v>
      </c>
      <c r="F93" s="120" t="n">
        <v>1.49</v>
      </c>
      <c r="G93" s="120" t="inlineStr">
        <is>
          <t>+86.0%</t>
        </is>
      </c>
    </row>
    <row r="94" ht="13.05000019073486" customHeight="1" s="160">
      <c r="A94" s="117" t="n">
        <v>15</v>
      </c>
      <c r="B94" s="118" t="n">
        <v>2.39</v>
      </c>
      <c r="C94" s="118" t="n">
        <v>2.12</v>
      </c>
      <c r="D94" s="118" t="n">
        <v>1.89</v>
      </c>
      <c r="E94" s="118" t="n">
        <v>1.68</v>
      </c>
      <c r="F94" s="118" t="n">
        <v>1.51</v>
      </c>
      <c r="G94" s="118" t="inlineStr">
        <is>
          <t>+89.0%</t>
        </is>
      </c>
    </row>
    <row r="95" ht="13.05000019073486" customHeight="1" s="160">
      <c r="A95" s="119" t="n">
        <v>16</v>
      </c>
      <c r="B95" s="120" t="n">
        <v>2.44</v>
      </c>
      <c r="C95" s="120" t="n">
        <v>2.16</v>
      </c>
      <c r="D95" s="120" t="n">
        <v>1.92</v>
      </c>
      <c r="E95" s="120" t="n">
        <v>1.71</v>
      </c>
      <c r="F95" s="120" t="n">
        <v>1.52</v>
      </c>
      <c r="G95" s="120" t="inlineStr">
        <is>
          <t>+92.0%</t>
        </is>
      </c>
    </row>
    <row r="96" ht="13.05000019073486" customHeight="1" s="160">
      <c r="A96" s="117" t="n">
        <v>17</v>
      </c>
      <c r="B96" s="118" t="n">
        <v>2.49</v>
      </c>
      <c r="C96" s="118" t="n">
        <v>2.2</v>
      </c>
      <c r="D96" s="118" t="n">
        <v>1.95</v>
      </c>
      <c r="E96" s="118" t="n">
        <v>1.73</v>
      </c>
      <c r="F96" s="118" t="n">
        <v>1.54</v>
      </c>
      <c r="G96" s="118" t="inlineStr">
        <is>
          <t>+95.0%</t>
        </is>
      </c>
    </row>
    <row r="97" ht="13.05000019073486" customHeight="1" s="160">
      <c r="A97" s="119" t="n">
        <v>18</v>
      </c>
      <c r="B97" s="120" t="n">
        <v>2.54</v>
      </c>
      <c r="C97" s="120" t="n">
        <v>2.23</v>
      </c>
      <c r="D97" s="120" t="n">
        <v>1.97</v>
      </c>
      <c r="E97" s="120" t="n">
        <v>1.75</v>
      </c>
      <c r="F97" s="120" t="n">
        <v>1.55</v>
      </c>
      <c r="G97" s="120" t="inlineStr">
        <is>
          <t>+97.0%</t>
        </is>
      </c>
    </row>
    <row r="98" ht="13.05000019073486" customHeight="1" s="160">
      <c r="A98" s="117" t="n">
        <v>19</v>
      </c>
      <c r="B98" s="118" t="n">
        <v>2.58</v>
      </c>
      <c r="C98" s="118" t="n">
        <v>2.26</v>
      </c>
      <c r="D98" s="118" t="n">
        <v>2</v>
      </c>
      <c r="E98" s="118" t="n">
        <v>1.76</v>
      </c>
      <c r="F98" s="118" t="n">
        <v>1.56</v>
      </c>
      <c r="G98" s="118" t="inlineStr">
        <is>
          <t>+100.0%</t>
        </is>
      </c>
    </row>
    <row r="99" ht="13.05000019073486" customHeight="1" s="160">
      <c r="A99" s="119" t="n">
        <v>20</v>
      </c>
      <c r="B99" s="120" t="n">
        <v>2.62</v>
      </c>
      <c r="C99" s="120" t="n">
        <v>2.3</v>
      </c>
      <c r="D99" s="120" t="n">
        <v>2.02</v>
      </c>
      <c r="E99" s="120" t="n">
        <v>1.78</v>
      </c>
      <c r="F99" s="120" t="n">
        <v>1.58</v>
      </c>
      <c r="G99" s="120" t="inlineStr">
        <is>
          <t>+102.0%</t>
        </is>
      </c>
    </row>
    <row r="100" ht="13.05000019073486" customHeight="1" s="160">
      <c r="A100" s="117" t="n">
        <v>25</v>
      </c>
      <c r="B100" s="118" t="n">
        <v>2.82</v>
      </c>
      <c r="C100" s="118" t="n">
        <v>2.44</v>
      </c>
      <c r="D100" s="118" t="n">
        <v>2.13</v>
      </c>
      <c r="E100" s="118" t="n">
        <v>1.86</v>
      </c>
      <c r="F100" s="118" t="n">
        <v>1.63</v>
      </c>
      <c r="G100" s="118" t="inlineStr">
        <is>
          <t>+113.0%</t>
        </is>
      </c>
    </row>
    <row r="101" ht="13.05000019073486" customHeight="1" s="160">
      <c r="A101" s="119" t="n">
        <v>30</v>
      </c>
      <c r="B101" s="120" t="n">
        <v>2.99</v>
      </c>
      <c r="C101" s="120" t="n">
        <v>2.57</v>
      </c>
      <c r="D101" s="120" t="n">
        <v>2.22</v>
      </c>
      <c r="E101" s="120" t="n">
        <v>1.93</v>
      </c>
      <c r="F101" s="120" t="n">
        <v>1.68</v>
      </c>
      <c r="G101" s="120" t="inlineStr">
        <is>
          <t>+122.0%</t>
        </is>
      </c>
    </row>
    <row r="102" ht="13.05000019073486" customHeight="1" s="160">
      <c r="A102" s="117" t="n">
        <v>35</v>
      </c>
      <c r="B102" s="118" t="n">
        <v>3.14</v>
      </c>
      <c r="C102" s="118" t="n">
        <v>2.68</v>
      </c>
      <c r="D102" s="118" t="n">
        <v>2.31</v>
      </c>
      <c r="E102" s="118" t="n">
        <v>1.98</v>
      </c>
      <c r="F102" s="118" t="n">
        <v>1.72</v>
      </c>
      <c r="G102" s="118" t="inlineStr">
        <is>
          <t>+131.0%</t>
        </is>
      </c>
    </row>
    <row r="103" ht="13.05000019073486" customHeight="1" s="160">
      <c r="A103" s="119" t="n">
        <v>40</v>
      </c>
      <c r="B103" s="120" t="n">
        <v>3.28</v>
      </c>
      <c r="C103" s="120" t="n">
        <v>2.78</v>
      </c>
      <c r="D103" s="120" t="n">
        <v>2.38</v>
      </c>
      <c r="E103" s="120" t="n">
        <v>2.04</v>
      </c>
      <c r="F103" s="120" t="n">
        <v>1.75</v>
      </c>
      <c r="G103" s="120" t="inlineStr">
        <is>
          <t>+138.0%</t>
        </is>
      </c>
    </row>
    <row r="104" ht="13.05000019073486" customHeight="1" s="160">
      <c r="A104" s="117" t="n">
        <v>45</v>
      </c>
      <c r="B104" s="118" t="n">
        <v>3.41</v>
      </c>
      <c r="C104" s="118" t="n">
        <v>2.88</v>
      </c>
      <c r="D104" s="118" t="n">
        <v>2.45</v>
      </c>
      <c r="E104" s="118" t="n">
        <v>2.08</v>
      </c>
      <c r="F104" s="118" t="n">
        <v>1.78</v>
      </c>
      <c r="G104" s="118" t="inlineStr">
        <is>
          <t>+145.0%</t>
        </is>
      </c>
    </row>
    <row r="105" ht="13.05000019073486" customHeight="1" s="160">
      <c r="A105" s="119" t="n">
        <v>50</v>
      </c>
      <c r="B105" s="120" t="n">
        <v>3.52</v>
      </c>
      <c r="C105" s="120" t="n">
        <v>2.96</v>
      </c>
      <c r="D105" s="120" t="n">
        <v>2.51</v>
      </c>
      <c r="E105" s="120" t="n">
        <v>2.12</v>
      </c>
      <c r="F105" s="120" t="n">
        <v>1.81</v>
      </c>
      <c r="G105" s="120" t="inlineStr">
        <is>
          <t>+151.0%</t>
        </is>
      </c>
    </row>
    <row r="106" ht="13.05000019073486" customHeight="1" s="160">
      <c r="A106" s="117" t="n">
        <v>55</v>
      </c>
      <c r="B106" s="118" t="n">
        <v>3.63</v>
      </c>
      <c r="C106" s="118" t="n">
        <v>3.04</v>
      </c>
      <c r="D106" s="118" t="n">
        <v>2.56</v>
      </c>
      <c r="E106" s="118" t="n">
        <v>2.16</v>
      </c>
      <c r="F106" s="118" t="n">
        <v>1.84</v>
      </c>
      <c r="G106" s="118" t="inlineStr">
        <is>
          <t>+156.0%</t>
        </is>
      </c>
    </row>
    <row r="107" ht="13.05000019073486" customHeight="1" s="160">
      <c r="A107" s="119" t="n">
        <v>60</v>
      </c>
      <c r="B107" s="120" t="n">
        <v>3.74</v>
      </c>
      <c r="C107" s="120" t="n">
        <v>3.12</v>
      </c>
      <c r="D107" s="120" t="n">
        <v>2.62</v>
      </c>
      <c r="E107" s="120" t="n">
        <v>2.2</v>
      </c>
      <c r="F107" s="120" t="n">
        <v>1.86</v>
      </c>
      <c r="G107" s="120" t="inlineStr">
        <is>
          <t>+162.0%</t>
        </is>
      </c>
    </row>
    <row r="108" ht="13.05000019073486" customHeight="1" s="160">
      <c r="A108" s="117" t="n">
        <v>65</v>
      </c>
      <c r="B108" s="118" t="n">
        <v>3.83</v>
      </c>
      <c r="C108" s="118" t="n">
        <v>3.19</v>
      </c>
      <c r="D108" s="118" t="n">
        <v>2.67</v>
      </c>
      <c r="E108" s="118" t="n">
        <v>2.23</v>
      </c>
      <c r="F108" s="118" t="n">
        <v>1.89</v>
      </c>
      <c r="G108" s="118" t="inlineStr">
        <is>
          <t>+167.0%</t>
        </is>
      </c>
    </row>
    <row r="109" ht="13.05000019073486" customHeight="1" s="160">
      <c r="A109" s="119" t="n">
        <v>70</v>
      </c>
      <c r="B109" s="120" t="n">
        <v>3.93</v>
      </c>
      <c r="C109" s="120" t="n">
        <v>3.25</v>
      </c>
      <c r="D109" s="120" t="n">
        <v>2.71</v>
      </c>
      <c r="E109" s="120" t="n">
        <v>2.27</v>
      </c>
      <c r="F109" s="120" t="n">
        <v>1.91</v>
      </c>
      <c r="G109" s="120" t="inlineStr">
        <is>
          <t>+171.0%</t>
        </is>
      </c>
    </row>
    <row r="110" ht="13.05000019073486" customHeight="1" s="160">
      <c r="A110" s="117" t="n">
        <v>75</v>
      </c>
      <c r="B110" s="118" t="n">
        <v>4.02</v>
      </c>
      <c r="C110" s="118" t="n">
        <v>3.31</v>
      </c>
      <c r="D110" s="118" t="n">
        <v>2.76</v>
      </c>
      <c r="E110" s="118" t="n">
        <v>2.3</v>
      </c>
      <c r="F110" s="118" t="n">
        <v>1.93</v>
      </c>
      <c r="G110" s="118" t="inlineStr">
        <is>
          <t>+176.0%</t>
        </is>
      </c>
    </row>
    <row r="111" ht="13.05000019073486" customHeight="1" s="160">
      <c r="A111" s="119" t="n">
        <v>80</v>
      </c>
      <c r="B111" s="120" t="n">
        <v>4.1</v>
      </c>
      <c r="C111" s="120" t="n">
        <v>3.37</v>
      </c>
      <c r="D111" s="120" t="n">
        <v>2.8</v>
      </c>
      <c r="E111" s="120" t="n">
        <v>2.33</v>
      </c>
      <c r="F111" s="120" t="n">
        <v>1.95</v>
      </c>
      <c r="G111" s="120" t="inlineStr">
        <is>
          <t>+180.0%</t>
        </is>
      </c>
    </row>
    <row r="112" ht="13.05000019073486" customHeight="1" s="160">
      <c r="A112" s="117" t="n">
        <v>85</v>
      </c>
      <c r="B112" s="118" t="n">
        <v>4.18</v>
      </c>
      <c r="C112" s="118" t="n">
        <v>3.43</v>
      </c>
      <c r="D112" s="118" t="n">
        <v>2.84</v>
      </c>
      <c r="E112" s="118" t="n">
        <v>2.35</v>
      </c>
      <c r="F112" s="118" t="n">
        <v>1.96</v>
      </c>
      <c r="G112" s="118" t="inlineStr">
        <is>
          <t>+184.0%</t>
        </is>
      </c>
    </row>
    <row r="113" ht="13.05000019073486" customHeight="1" s="160">
      <c r="A113" s="119" t="n">
        <v>90</v>
      </c>
      <c r="B113" s="120" t="n">
        <v>4.26</v>
      </c>
      <c r="C113" s="120" t="n">
        <v>3.49</v>
      </c>
      <c r="D113" s="120" t="n">
        <v>2.88</v>
      </c>
      <c r="E113" s="120" t="n">
        <v>2.38</v>
      </c>
      <c r="F113" s="120" t="n">
        <v>1.98</v>
      </c>
      <c r="G113" s="120" t="inlineStr">
        <is>
          <t>+188.0%</t>
        </is>
      </c>
    </row>
    <row r="114" ht="13.05000019073486" customHeight="1" s="160">
      <c r="A114" s="117" t="n">
        <v>95</v>
      </c>
      <c r="B114" s="118" t="n">
        <v>4.33</v>
      </c>
      <c r="C114" s="118" t="n">
        <v>3.54</v>
      </c>
      <c r="D114" s="118" t="n">
        <v>2.92</v>
      </c>
      <c r="E114" s="118" t="n">
        <v>2.4</v>
      </c>
      <c r="F114" s="118" t="n">
        <v>2</v>
      </c>
      <c r="G114" s="118" t="inlineStr">
        <is>
          <t>+192.0%</t>
        </is>
      </c>
    </row>
    <row r="115" ht="13.05000019073486" customHeight="1" s="160">
      <c r="A115" s="119" t="n">
        <v>100</v>
      </c>
      <c r="B115" s="120" t="n">
        <v>4.41</v>
      </c>
      <c r="C115" s="120" t="n">
        <v>3.59</v>
      </c>
      <c r="D115" s="120" t="n">
        <v>2.95</v>
      </c>
      <c r="E115" s="120" t="n">
        <v>2.43</v>
      </c>
      <c r="F115" s="120" t="n">
        <v>2.01</v>
      </c>
      <c r="G115" s="120" t="inlineStr">
        <is>
          <t>+195.0%</t>
        </is>
      </c>
    </row>
  </sheetData>
  <mergeCells count="2">
    <mergeCell ref="A2:G2"/>
    <mergeCell ref="A1:G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cols>
    <col width="12" customWidth="1" style="160" min="1" max="1"/>
    <col width="12" customWidth="1" style="160" min="2" max="2"/>
    <col width="13" customWidth="1" style="160" min="3" max="3"/>
    <col width="13" customWidth="1" style="160" min="4" max="4"/>
    <col width="11" customWidth="1" style="160" min="5" max="5"/>
    <col width="11" customWidth="1" style="160" min="6" max="6"/>
    <col width="11" customWidth="1" style="160" min="7" max="7"/>
    <col width="10" customWidth="1" style="160" min="8" max="8"/>
    <col width="13" customWidth="1" style="160" min="9" max="9"/>
    <col width="11" customWidth="1" style="160" min="10" max="10"/>
    <col width="10" customWidth="1" style="160" min="11" max="11"/>
    <col width="9" customWidth="1" style="160" min="12" max="12"/>
    <col width="12" customWidth="1" style="160" min="13" max="13"/>
    <col width="11" customWidth="1" style="160" min="14" max="14"/>
    <col width="15" customWidth="1" style="160" min="15" max="15"/>
    <col width="10" customWidth="1" style="160" min="16" max="16"/>
    <col width="12" customWidth="1" style="160" min="17" max="17"/>
    <col width="13" customWidth="1" style="160" min="18" max="18"/>
    <col width="20" customWidth="1" style="160" min="19" max="19"/>
  </cols>
  <sheetData>
    <row r="1">
      <c r="A1" t="inlineStr">
        <is>
          <t>Sales Comparison Adjustment Grid — Dilmore Method</t>
        </is>
      </c>
    </row>
    <row r="3">
      <c r="A3" t="inlineStr">
        <is>
          <t>Elasticity Curve:</t>
        </is>
      </c>
      <c r="B3" s="241" t="n">
        <v>85</v>
      </c>
      <c r="C3" t="inlineStr">
        <is>
          <t>← Select: 80, 82.5, 85, 87.5, or 90</t>
        </is>
      </c>
    </row>
    <row r="4">
      <c r="A4" t="inlineStr">
        <is>
          <t>Subject GBA (SF):</t>
        </is>
      </c>
      <c r="B4" s="241">
        <f>Intake!B32</f>
        <v/>
      </c>
      <c r="C4" t="inlineStr">
        <is>
          <t>← Linked to Intake tab (GBA row)</t>
        </is>
      </c>
    </row>
    <row r="6">
      <c r="A6" s="242" t="inlineStr">
        <is>
          <t>Comp</t>
        </is>
      </c>
      <c r="B6" s="242" t="inlineStr">
        <is>
          <t>Sale Price ($)</t>
        </is>
      </c>
      <c r="C6" s="242" t="inlineStr">
        <is>
          <t>Comp GBA (SF)</t>
        </is>
      </c>
      <c r="D6" s="242" t="inlineStr">
        <is>
          <t>Sale Price ($/SF)</t>
        </is>
      </c>
      <c r="E6" s="242" t="inlineStr">
        <is>
          <t>Sale Date</t>
        </is>
      </c>
      <c r="F6" s="242" t="inlineStr">
        <is>
          <t>Months to Eff. Date</t>
        </is>
      </c>
      <c r="G6" s="242" t="inlineStr">
        <is>
          <t>Monthly Mkt Rate</t>
        </is>
      </c>
      <c r="H6" s="242" t="inlineStr">
        <is>
          <t>Time Adj %</t>
        </is>
      </c>
      <c r="I6" s="242" t="inlineStr">
        <is>
          <t>Adjusted Price ($/SF)</t>
        </is>
      </c>
      <c r="J6" s="242" t="inlineStr">
        <is>
          <t>Ratio (Ac/As)</t>
        </is>
      </c>
      <c r="K6" s="242" t="inlineStr">
        <is>
          <t>Size Factor</t>
        </is>
      </c>
      <c r="L6" s="242" t="inlineStr">
        <is>
          <t>Size Adj %</t>
        </is>
      </c>
      <c r="M6" s="242" t="inlineStr">
        <is>
          <t>Size Adj $/SF</t>
        </is>
      </c>
      <c r="N6" s="242" t="inlineStr">
        <is>
          <t>Location Adj %</t>
        </is>
      </c>
      <c r="O6" s="242" t="inlineStr">
        <is>
          <t>Quality/Condition Adj %</t>
        </is>
      </c>
      <c r="P6" s="242" t="inlineStr">
        <is>
          <t>Utility Adj %</t>
        </is>
      </c>
      <c r="Q6" s="242" t="inlineStr">
        <is>
          <t>Net Adjustment %</t>
        </is>
      </c>
      <c r="R6" s="242" t="inlineStr">
        <is>
          <t>Indicated Value ($/SF)</t>
        </is>
      </c>
      <c r="S6" s="242" t="inlineStr">
        <is>
          <t>Notes</t>
        </is>
      </c>
    </row>
    <row r="7">
      <c r="A7" s="243" t="inlineStr">
        <is>
          <t>Sale No. 1</t>
        </is>
      </c>
      <c r="B7" s="241" t="n"/>
      <c r="C7" s="241" t="n"/>
      <c r="D7" s="244">
        <f>IF(OR(B7="",C7=""),"",B7/C7)</f>
        <v/>
      </c>
      <c r="E7" s="241" t="n"/>
      <c r="F7" s="250">
        <f>IF(OR(E7="",Intake!$B$9=""),"",(Intake!$B$9-E7)/30.4375)</f>
        <v/>
      </c>
      <c r="G7" s="241" t="n"/>
      <c r="H7" s="251">
        <f>IF(OR(F7="",G7=""),"",F7*G7)</f>
        <v/>
      </c>
      <c r="I7" s="244">
        <f>IF(OR(D7="",H7=""),"",D7*(1+H7))</f>
        <v/>
      </c>
      <c r="J7" s="247">
        <f>IF(C7="","",IFERROR(C7/$B$4,""))</f>
        <v/>
      </c>
      <c r="K7" s="248" t="n"/>
      <c r="L7" s="251" t="n"/>
      <c r="M7" s="244">
        <f>IF(OR(I7="",L7=""),"",I7*L7)</f>
        <v/>
      </c>
      <c r="N7" s="252" t="n"/>
      <c r="O7" s="252" t="n"/>
      <c r="P7" s="252" t="n"/>
      <c r="Q7" s="251">
        <f>IF(L7="","",L7+SUM(N7:P7))</f>
        <v/>
      </c>
      <c r="R7" s="244">
        <f>IF(OR(I7="",Q7=""),"",I7*(1+Q7))</f>
        <v/>
      </c>
      <c r="S7" s="241" t="n"/>
    </row>
    <row r="8">
      <c r="A8" s="243" t="inlineStr">
        <is>
          <t>Sale No. 2</t>
        </is>
      </c>
      <c r="B8" s="241" t="n"/>
      <c r="C8" s="241" t="n"/>
      <c r="D8" s="244">
        <f>IF(OR(B8="",C8=""),"",B8/C8)</f>
        <v/>
      </c>
      <c r="E8" s="241" t="n"/>
      <c r="F8" s="250">
        <f>IF(OR(E8="",Intake!$B$9=""),"",(Intake!$B$9-E8)/30.4375)</f>
        <v/>
      </c>
      <c r="G8" s="241" t="n"/>
      <c r="H8" s="251">
        <f>IF(OR(F8="",G8=""),"",F8*G8)</f>
        <v/>
      </c>
      <c r="I8" s="244">
        <f>IF(OR(D8="",H8=""),"",D8*(1+H8))</f>
        <v/>
      </c>
      <c r="J8" s="247">
        <f>IF(C8="","",IFERROR(C8/$B$4,""))</f>
        <v/>
      </c>
      <c r="K8" s="248" t="n"/>
      <c r="L8" s="251" t="n"/>
      <c r="M8" s="244">
        <f>IF(OR(I8="",L8=""),"",I8*L8)</f>
        <v/>
      </c>
      <c r="N8" s="252" t="n"/>
      <c r="O8" s="252" t="n"/>
      <c r="P8" s="252" t="n"/>
      <c r="Q8" s="251">
        <f>IF(L8="","",L8+SUM(N8:P8))</f>
        <v/>
      </c>
      <c r="R8" s="244">
        <f>IF(OR(I8="",Q8=""),"",I8*(1+Q8))</f>
        <v/>
      </c>
      <c r="S8" s="241" t="n"/>
    </row>
    <row r="9">
      <c r="A9" s="243" t="inlineStr">
        <is>
          <t>Sale No. 3</t>
        </is>
      </c>
      <c r="B9" s="241" t="n"/>
      <c r="C9" s="241" t="n"/>
      <c r="D9" s="244">
        <f>IF(OR(B9="",C9=""),"",B9/C9)</f>
        <v/>
      </c>
      <c r="E9" s="241" t="n"/>
      <c r="F9" s="250">
        <f>IF(OR(E9="",Intake!$B$9=""),"",(Intake!$B$9-E9)/30.4375)</f>
        <v/>
      </c>
      <c r="G9" s="241" t="n"/>
      <c r="H9" s="251">
        <f>IF(OR(F9="",G9=""),"",F9*G9)</f>
        <v/>
      </c>
      <c r="I9" s="244">
        <f>IF(OR(D9="",H9=""),"",D9*(1+H9))</f>
        <v/>
      </c>
      <c r="J9" s="247">
        <f>IF(C9="","",IFERROR(C9/$B$4,""))</f>
        <v/>
      </c>
      <c r="K9" s="248" t="n"/>
      <c r="L9" s="251" t="n"/>
      <c r="M9" s="244">
        <f>IF(OR(I9="",L9=""),"",I9*L9)</f>
        <v/>
      </c>
      <c r="N9" s="252" t="n"/>
      <c r="O9" s="252" t="n"/>
      <c r="P9" s="252" t="n"/>
      <c r="Q9" s="251">
        <f>IF(L9="","",L9+SUM(N9:P9))</f>
        <v/>
      </c>
      <c r="R9" s="244">
        <f>IF(OR(I9="",Q9=""),"",I9*(1+Q9))</f>
        <v/>
      </c>
      <c r="S9" s="241" t="n"/>
    </row>
    <row r="10">
      <c r="A10" s="243" t="inlineStr">
        <is>
          <t>Sale No. 4</t>
        </is>
      </c>
      <c r="B10" s="241" t="n"/>
      <c r="C10" s="241" t="n"/>
      <c r="D10" s="244">
        <f>IF(OR(B10="",C10=""),"",B10/C10)</f>
        <v/>
      </c>
      <c r="E10" s="241" t="n"/>
      <c r="F10" s="250">
        <f>IF(OR(E10="",Intake!$B$9=""),"",(Intake!$B$9-E10)/30.4375)</f>
        <v/>
      </c>
      <c r="G10" s="241" t="n"/>
      <c r="H10" s="251">
        <f>IF(OR(F10="",G10=""),"",F10*G10)</f>
        <v/>
      </c>
      <c r="I10" s="244">
        <f>IF(OR(D10="",H10=""),"",D10*(1+H10))</f>
        <v/>
      </c>
      <c r="J10" s="247">
        <f>IF(C10="","",IFERROR(C10/$B$4,""))</f>
        <v/>
      </c>
      <c r="K10" s="248" t="n"/>
      <c r="L10" s="251" t="n"/>
      <c r="M10" s="244">
        <f>IF(OR(I10="",L10=""),"",I10*L10)</f>
        <v/>
      </c>
      <c r="N10" s="252" t="n"/>
      <c r="O10" s="252" t="n"/>
      <c r="P10" s="252" t="n"/>
      <c r="Q10" s="251">
        <f>IF(L10="","",L10+SUM(N10:P10))</f>
        <v/>
      </c>
      <c r="R10" s="244">
        <f>IF(OR(I10="",Q10=""),"",I10*(1+Q10))</f>
        <v/>
      </c>
      <c r="S10" s="241" t="n"/>
    </row>
    <row r="11">
      <c r="A11" s="243" t="inlineStr">
        <is>
          <t>Sale No. 5</t>
        </is>
      </c>
      <c r="B11" s="241" t="n"/>
      <c r="C11" s="241" t="n"/>
      <c r="D11" s="244">
        <f>IF(OR(B11="",C11=""),"",B11/C11)</f>
        <v/>
      </c>
      <c r="E11" s="241" t="n"/>
      <c r="F11" s="250">
        <f>IF(OR(E11="",Intake!$B$9=""),"",(Intake!$B$9-E11)/30.4375)</f>
        <v/>
      </c>
      <c r="G11" s="241" t="n"/>
      <c r="H11" s="251">
        <f>IF(OR(F11="",G11=""),"",F11*G11)</f>
        <v/>
      </c>
      <c r="I11" s="244">
        <f>IF(OR(D11="",H11=""),"",D11*(1+H11))</f>
        <v/>
      </c>
      <c r="J11" s="247">
        <f>IF(C11="","",IFERROR(C11/$B$4,""))</f>
        <v/>
      </c>
      <c r="K11" s="248" t="n"/>
      <c r="L11" s="251" t="n"/>
      <c r="M11" s="244">
        <f>IF(OR(I11="",L11=""),"",I11*L11)</f>
        <v/>
      </c>
      <c r="N11" s="252" t="n"/>
      <c r="O11" s="252" t="n"/>
      <c r="P11" s="252" t="n"/>
      <c r="Q11" s="251">
        <f>IF(L11="","",L11+SUM(N11:P11))</f>
        <v/>
      </c>
      <c r="R11" s="244">
        <f>IF(OR(I11="",Q11=""),"",I11*(1+Q11))</f>
        <v/>
      </c>
      <c r="S11" s="241" t="n"/>
    </row>
    <row r="12">
      <c r="A12" s="243" t="inlineStr">
        <is>
          <t>Sale No. 6</t>
        </is>
      </c>
      <c r="B12" s="241" t="n"/>
      <c r="C12" s="241" t="n"/>
      <c r="D12" s="244">
        <f>IF(OR(B12="",C12=""),"",B12/C12)</f>
        <v/>
      </c>
      <c r="E12" s="241" t="n"/>
      <c r="F12" s="250">
        <f>IF(OR(E12="",Intake!$B$9=""),"",(Intake!$B$9-E12)/30.4375)</f>
        <v/>
      </c>
      <c r="G12" s="241" t="n"/>
      <c r="H12" s="251">
        <f>IF(OR(F12="",G12=""),"",F12*G12)</f>
        <v/>
      </c>
      <c r="I12" s="244">
        <f>IF(OR(D12="",H12=""),"",D12*(1+H12))</f>
        <v/>
      </c>
      <c r="J12" s="247">
        <f>IF(C12="","",IFERROR(C12/$B$4,""))</f>
        <v/>
      </c>
      <c r="K12" s="248" t="n"/>
      <c r="L12" s="251" t="n"/>
      <c r="M12" s="244">
        <f>IF(OR(I12="",L12=""),"",I12*L12)</f>
        <v/>
      </c>
      <c r="N12" s="252" t="n"/>
      <c r="O12" s="252" t="n"/>
      <c r="P12" s="252" t="n"/>
      <c r="Q12" s="251">
        <f>IF(L12="","",L12+SUM(N12:P12))</f>
        <v/>
      </c>
      <c r="R12" s="244">
        <f>IF(OR(I12="",Q12=""),"",I12*(1+Q12))</f>
        <v/>
      </c>
      <c r="S12" s="241" t="n"/>
    </row>
    <row r="13">
      <c r="A13" s="243" t="inlineStr">
        <is>
          <t>Sale No. 7</t>
        </is>
      </c>
      <c r="B13" s="241" t="n"/>
      <c r="C13" s="241" t="n"/>
      <c r="D13" s="244">
        <f>IF(OR(B13="",C13=""),"",B13/C13)</f>
        <v/>
      </c>
      <c r="E13" s="241" t="n"/>
      <c r="F13" s="250">
        <f>IF(OR(E13="",Intake!$B$9=""),"",(Intake!$B$9-E13)/30.4375)</f>
        <v/>
      </c>
      <c r="G13" s="241" t="n"/>
      <c r="H13" s="251">
        <f>IF(OR(F13="",G13=""),"",F13*G13)</f>
        <v/>
      </c>
      <c r="I13" s="244">
        <f>IF(OR(D13="",H13=""),"",D13*(1+H13))</f>
        <v/>
      </c>
      <c r="J13" s="247">
        <f>IF(C13="","",IFERROR(C13/$B$4,""))</f>
        <v/>
      </c>
      <c r="K13" s="248" t="n"/>
      <c r="L13" s="251" t="n"/>
      <c r="M13" s="244">
        <f>IF(OR(I13="",L13=""),"",I13*L13)</f>
        <v/>
      </c>
      <c r="N13" s="252" t="n"/>
      <c r="O13" s="252" t="n"/>
      <c r="P13" s="252" t="n"/>
      <c r="Q13" s="251">
        <f>IF(L13="","",L13+SUM(N13:P13))</f>
        <v/>
      </c>
      <c r="R13" s="244">
        <f>IF(OR(I13="",Q13=""),"",I13*(1+Q13))</f>
        <v/>
      </c>
      <c r="S13" s="241" t="n"/>
    </row>
    <row r="14">
      <c r="A14" s="243" t="inlineStr">
        <is>
          <t>Sale No. 8</t>
        </is>
      </c>
      <c r="B14" s="241" t="n"/>
      <c r="C14" s="241" t="n"/>
      <c r="D14" s="244">
        <f>IF(OR(B14="",C14=""),"",B14/C14)</f>
        <v/>
      </c>
      <c r="E14" s="241" t="n"/>
      <c r="F14" s="250">
        <f>IF(OR(E14="",Intake!$B$9=""),"",(Intake!$B$9-E14)/30.4375)</f>
        <v/>
      </c>
      <c r="G14" s="241" t="n"/>
      <c r="H14" s="251">
        <f>IF(OR(F14="",G14=""),"",F14*G14)</f>
        <v/>
      </c>
      <c r="I14" s="244">
        <f>IF(OR(D14="",H14=""),"",D14*(1+H14))</f>
        <v/>
      </c>
      <c r="J14" s="247">
        <f>IF(C14="","",IFERROR(C14/$B$4,""))</f>
        <v/>
      </c>
      <c r="K14" s="248" t="n"/>
      <c r="L14" s="251" t="n"/>
      <c r="M14" s="244">
        <f>IF(OR(I14="",L14=""),"",I14*L14)</f>
        <v/>
      </c>
      <c r="N14" s="252" t="n"/>
      <c r="O14" s="252" t="n"/>
      <c r="P14" s="252" t="n"/>
      <c r="Q14" s="251">
        <f>IF(L14="","",L14+SUM(N14:P14))</f>
        <v/>
      </c>
      <c r="R14" s="244">
        <f>IF(OR(I14="",Q14=""),"",I14*(1+Q14))</f>
        <v/>
      </c>
      <c r="S14" s="241" t="n"/>
    </row>
    <row r="15">
      <c r="A15" s="243" t="inlineStr">
        <is>
          <t>Sale No. 9</t>
        </is>
      </c>
      <c r="B15" s="241" t="n"/>
      <c r="C15" s="241" t="n"/>
      <c r="D15" s="244">
        <f>IF(OR(B15="",C15=""),"",B15/C15)</f>
        <v/>
      </c>
      <c r="E15" s="241" t="n"/>
      <c r="F15" s="250">
        <f>IF(OR(E15="",Intake!$B$9=""),"",(Intake!$B$9-E15)/30.4375)</f>
        <v/>
      </c>
      <c r="G15" s="241" t="n"/>
      <c r="H15" s="251">
        <f>IF(OR(F15="",G15=""),"",F15*G15)</f>
        <v/>
      </c>
      <c r="I15" s="244">
        <f>IF(OR(D15="",H15=""),"",D15*(1+H15))</f>
        <v/>
      </c>
      <c r="J15" s="247">
        <f>IF(C15="","",IFERROR(C15/$B$4,""))</f>
        <v/>
      </c>
      <c r="K15" s="248" t="n"/>
      <c r="L15" s="251" t="n"/>
      <c r="M15" s="244">
        <f>IF(OR(I15="",L15=""),"",I15*L15)</f>
        <v/>
      </c>
      <c r="N15" s="252" t="n"/>
      <c r="O15" s="252" t="n"/>
      <c r="P15" s="252" t="n"/>
      <c r="Q15" s="251">
        <f>IF(L15="","",L15+SUM(N15:P15))</f>
        <v/>
      </c>
      <c r="R15" s="244">
        <f>IF(OR(I15="",Q15=""),"",I15*(1+Q15))</f>
        <v/>
      </c>
      <c r="S15" s="241" t="n"/>
    </row>
    <row r="16">
      <c r="A16" s="243" t="inlineStr">
        <is>
          <t>Sale No. 10</t>
        </is>
      </c>
      <c r="B16" s="241" t="n"/>
      <c r="C16" s="241" t="n"/>
      <c r="D16" s="244">
        <f>IF(OR(B16="",C16=""),"",B16/C16)</f>
        <v/>
      </c>
      <c r="E16" s="241" t="n"/>
      <c r="F16" s="250">
        <f>IF(OR(E16="",Intake!$B$9=""),"",(Intake!$B$9-E16)/30.4375)</f>
        <v/>
      </c>
      <c r="G16" s="241" t="n"/>
      <c r="H16" s="251">
        <f>IF(OR(F16="",G16=""),"",F16*G16)</f>
        <v/>
      </c>
      <c r="I16" s="244">
        <f>IF(OR(D16="",H16=""),"",D16*(1+H16))</f>
        <v/>
      </c>
      <c r="J16" s="247">
        <f>IF(C16="","",IFERROR(C16/$B$4,""))</f>
        <v/>
      </c>
      <c r="K16" s="248" t="n"/>
      <c r="L16" s="251" t="n"/>
      <c r="M16" s="244">
        <f>IF(OR(I16="",L16=""),"",I16*L16)</f>
        <v/>
      </c>
      <c r="N16" s="252" t="n"/>
      <c r="O16" s="252" t="n"/>
      <c r="P16" s="252" t="n"/>
      <c r="Q16" s="251">
        <f>IF(L16="","",L16+SUM(N16:P16))</f>
        <v/>
      </c>
      <c r="R16" s="244">
        <f>IF(OR(I16="",Q16=""),"",I16*(1+Q16))</f>
        <v/>
      </c>
      <c r="S16" s="241" t="n"/>
    </row>
    <row r="18">
      <c r="A18" t="inlineStr">
        <is>
          <t>Green cells = manual entry.  Factor &amp; Adj % columns are auto-filled automatically during validate/deliver (python axiom.py dilmore &lt;file_no&gt; to run standalone).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2026-07-10T19:35:08Z</dcterms:created>
  <dcterms:modified xmlns:dcterms="http://purl.org/dc/terms/" xmlns:xsi="http://www.w3.org/2001/XMLSchema-instance" xsi:type="dcterms:W3CDTF">2026-07-10T19:37:07Z</dcterms:modified>
</cp:coreProperties>
</file>