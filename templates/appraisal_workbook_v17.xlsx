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a9adcf600b44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take" sheetId="1" r:id="R10f8e4898d7d4854"/>
    <x:sheet xmlns:r="http://schemas.openxmlformats.org/officeDocument/2006/relationships" name="sales" sheetId="2" r:id="Rbe5792b01df34314"/>
    <x:sheet xmlns:r="http://schemas.openxmlformats.org/officeDocument/2006/relationships" name="size_adj" sheetId="3" r:id="R60fb8bb4db7e4b3e"/>
    <x:sheet xmlns:r="http://schemas.openxmlformats.org/officeDocument/2006/relationships" name="land" sheetId="4" r:id="R7421002f18094745"/>
    <x:sheet xmlns:r="http://schemas.openxmlformats.org/officeDocument/2006/relationships" name="cost" sheetId="5" r:id="R7ac726123ef44618"/>
    <x:sheet xmlns:r="http://schemas.openxmlformats.org/officeDocument/2006/relationships" name="noi_adj" sheetId="6" r:id="Rc278077f06a748f6"/>
    <x:sheet xmlns:r="http://schemas.openxmlformats.org/officeDocument/2006/relationships" name="cap_rates" sheetId="7" r:id="R32c164f6818c438d"/>
    <x:sheet xmlns:r="http://schemas.openxmlformats.org/officeDocument/2006/relationships" name="pgi_calc" sheetId="8" r:id="R726b5312f10840e9"/>
    <x:sheet xmlns:r="http://schemas.openxmlformats.org/officeDocument/2006/relationships" name="lease_comps" sheetId="9" r:id="R690770976ac748be"/>
    <x:sheet xmlns:r="http://schemas.openxmlformats.org/officeDocument/2006/relationships" name="lease_metrics" sheetId="10" r:id="Rcc57a98caba34c9d"/>
    <x:sheet xmlns:r="http://schemas.openxmlformats.org/officeDocument/2006/relationships" name="qualitative_analysis" sheetId="11" r:id="Rf7182f0aa3984d25"/>
    <x:sheet xmlns:r="http://schemas.openxmlformats.org/officeDocument/2006/relationships" name="subject_units" sheetId="12" r:id="Rd34360ebe7024660"/>
    <x:sheet xmlns:r="http://schemas.openxmlformats.org/officeDocument/2006/relationships" name="expense_comp" sheetId="13" r:id="R4bedabe654ee49fd"/>
    <x:sheet xmlns:r="http://schemas.openxmlformats.org/officeDocument/2006/relationships" name="income_summary" sheetId="14" r:id="R5cd3151ae4fb467b"/>
    <x:sheet xmlns:r="http://schemas.openxmlformats.org/officeDocument/2006/relationships" name="outputs" sheetId="15" r:id="Rf09807114f3f4d2d"/>
    <x:sheet xmlns:r="http://schemas.openxmlformats.org/officeDocument/2006/relationships" name="comp_data" sheetId="16" r:id="R52c71fcabfd54180"/>
    <x:sheet xmlns:r="http://schemas.openxmlformats.org/officeDocument/2006/relationships" name="dilmore" sheetId="17" r:id="R366794d1d1054970"/>
  </x:sheets>
</x:workbook>
</file>

<file path=xl/sharedStrings.xml><?xml version="1.0" encoding="utf-8"?>
<x:sst xmlns:x="http://schemas.openxmlformats.org/spreadsheetml/2006/main">
  <x:si>
    <x:t xml:space="preserve">ASSIGNMENT INTAKE FORM</x:t>
  </x:si>
  <x:si>
    <x:t xml:space="preserve">Key</x:t>
  </x:si>
  <x:si>
    <x:t xml:space="preserve">Value  ←  fill here</x:t>
  </x:si>
  <x:si>
    <x:t xml:space="preserve">Hint</x:t>
  </x:si>
  <x:si>
    <x:t xml:space="preserve">Status</x:t>
  </x:si>
  <x:si>
    <x:t xml:space="preserve">▶  EXPORT JSON  —  see ExportJSON_macro.txt to enable this button in Excel</x:t>
  </x:si>
  <x:si>
    <x:t xml:space="preserve">Output: {FILE_NO}_variables.json  in the same folder as this workbook</x:t>
  </x:si>
  <x:si>
    <x:t xml:space="preserve">ASSIGNMENT</x:t>
  </x:si>
  <x:si>
    <x:t xml:space="preserve">FILE_NO</x:t>
  </x:si>
  <x:si>
    <x:t xml:space="preserve">REPORT_DATE</x:t>
  </x:si>
  <x:si>
    <x:t xml:space="preserve">e.g. June 26, 2026</x:t>
  </x:si>
  <x:si>
    <x:t xml:space="preserve">ENGAGEMENT_DATE</x:t>
  </x:si>
  <x:si>
    <x:t xml:space="preserve">EFFECTIVE_DATE</x:t>
  </x:si>
  <x:si>
    <x:t xml:space="preserve">e.g. June 1, 2026</x:t>
  </x:si>
  <x:si>
    <x:t xml:space="preserve">DELIVERY_DATE</x:t>
  </x:si>
  <x:si>
    <x:t xml:space="preserve">e.g. July 10, 2026</x:t>
  </x:si>
  <x:si>
    <x:t xml:space="preserve">TURNAROUND_DAYS</x:t>
  </x:si>
  <x:si>
    <x:t xml:space="preserve">e.g. 10</x:t>
  </x:si>
  <x:si>
    <x:t xml:space="preserve">CLIENT &amp; CONTACT</x:t>
  </x:si>
  <x:si>
    <x:t xml:space="preserve">CLIENT_NAME</x:t>
  </x:si>
  <x:si>
    <x:t xml:space="preserve">Legal entity name</x:t>
  </x:si>
  <x:si>
    <x:t xml:space="preserve">CONTACT_NAME</x:t>
  </x:si>
  <x:si>
    <x:t xml:space="preserve">Full name</x:t>
  </x:si>
  <x:si>
    <x:t xml:space="preserve">CONTACT_SALUTATION</x:t>
  </x:si>
  <x:si>
    <x:t xml:space="preserve">e.g. Mr. Smith</x:t>
  </x:si>
  <x:si>
    <x:t xml:space="preserve">CLIENT_ADDR1</x:t>
  </x:si>
  <x:si>
    <x:t xml:space="preserve">Street address</x:t>
  </x:si>
  <x:si>
    <x:t xml:space="preserve">CLIENT_ADDR2</x:t>
  </x:si>
  <x:si>
    <x:t xml:space="preserve">City, State ZIP</x:t>
  </x:si>
  <x:si>
    <x:t xml:space="preserve">INTENDED_USE</x:t>
  </x:si>
  <x:si>
    <x:t xml:space="preserve">e.g. Mortgage financing</x:t>
  </x:si>
  <x:si>
    <x:t xml:space="preserve">PROPERTY</x:t>
  </x:si>
  <x:si>
    <x:t xml:space="preserve">PROPERTY_ADDRESS</x:t>
  </x:si>
  <x:si>
    <x:t xml:space="preserve">PROPERTY_CITY</x:t>
  </x:si>
  <x:si>
    <x:t xml:space="preserve">PROPERTY_ZIP</x:t>
  </x:si>
  <x:si>
    <x:t xml:space="preserve">e.g. 35203</x:t>
  </x:si>
  <x:si>
    <x:t xml:space="preserve">PROPERTY_COUNTY</x:t>
  </x:si>
  <x:si>
    <x:t xml:space="preserve">PROPERTY_STATE</x:t>
  </x:si>
  <x:si>
    <x:t xml:space="preserve">e.g. Alabama</x:t>
  </x:si>
  <x:si>
    <x:t xml:space="preserve">PARCEL_ID</x:t>
  </x:si>
  <x:si>
    <x:t xml:space="preserve">Tax parcel number</x:t>
  </x:si>
  <x:si>
    <x:t xml:space="preserve">PROPERTY_SUBTYPE_TABLE</x:t>
  </x:si>
  <x:si>
    <x:t xml:space="preserve">e.g. Multi-Tenant Office</x:t>
  </x:si>
  <x:si>
    <x:t xml:space="preserve">PROPERTY_RIGHTS</x:t>
  </x:si>
  <x:si>
    <x:t xml:space="preserve">e.g. Fee Simple</x:t>
  </x:si>
  <x:si>
    <x:t xml:space="preserve">REPORT_TYPE</x:t>
  </x:si>
  <x:si>
    <x:t xml:space="preserve">PHYSICAL CHARACTERISTICS</x:t>
  </x:si>
  <x:si>
    <x:t xml:space="preserve">YEAR_BUILT</x:t>
  </x:si>
  <x:si>
    <x:t xml:space="preserve">e.g. 1985</x:t>
  </x:si>
  <x:si>
    <x:t xml:space="preserve">YEAR_RENOVATED</x:t>
  </x:si>
  <x:si>
    <x:t xml:space="preserve">Leave blank if N/A</x:t>
  </x:si>
  <x:si>
    <x:t xml:space="preserve">GBA</x:t>
  </x:si>
  <x:si>
    <x:t xml:space="preserve">Gross Building Area</x:t>
  </x:si>
  <x:si>
    <x:t xml:space="preserve">NRA</x:t>
  </x:si>
  <x:si>
    <x:t xml:space="preserve">Net Rentable Area</x:t>
  </x:si>
  <x:si>
    <x:t xml:space="preserve">LAND_AREA_SF</x:t>
  </x:si>
  <x:si>
    <x:t xml:space="preserve">LAND_AREA_AC</x:t>
  </x:si>
  <x:si>
    <x:t xml:space="preserve">NUM_UNITS</x:t>
  </x:si>
  <x:si>
    <x:t xml:space="preserve">NUM_FLOORS</x:t>
  </x:si>
  <x:si>
    <x:t xml:space="preserve">OCCUPANCY_RATE</x:t>
  </x:si>
  <x:si>
    <x:t xml:space="preserve">e.g. 85%</x:t>
  </x:si>
  <x:si>
    <x:t xml:space="preserve">PARKING_SPACES</x:t>
  </x:si>
  <x:si>
    <x:t xml:space="preserve">ZONING</x:t>
  </x:si>
  <x:si>
    <x:t xml:space="preserve">e.g. B-2</x:t>
  </x:si>
  <x:si>
    <x:t xml:space="preserve">LEGAL_DESCRIPTION</x:t>
  </x:si>
  <x:si>
    <x:t xml:space="preserve">UTILITIES &amp; SITE SERVICES</x:t>
  </x:si>
  <x:si>
    <x:t xml:space="preserve">UTILITY_ELECTRIC</x:t>
  </x:si>
  <x:si>
    <x:t xml:space="preserve">UTILITY_GAS</x:t>
  </x:si>
  <x:si>
    <x:t xml:space="preserve">UTILITY_WATER</x:t>
  </x:si>
  <x:si>
    <x:t xml:space="preserve">UTILITY_SEWER</x:t>
  </x:si>
  <x:si>
    <x:t xml:space="preserve">UTILITY_TELECOM</x:t>
  </x:si>
  <x:si>
    <x:t xml:space="preserve">FIRE_PROTECTION</x:t>
  </x:si>
  <x:si>
    <x:t xml:space="preserve">e.g. Municipal / Volunteer</x:t>
  </x:si>
  <x:si>
    <x:t xml:space="preserve">SITE_LIGHTING</x:t>
  </x:si>
  <x:si>
    <x:t xml:space="preserve">e.g. Present / None</x:t>
  </x:si>
  <x:si>
    <x:t xml:space="preserve">SIGNAGE</x:t>
  </x:si>
  <x:si>
    <x:t xml:space="preserve">HIGHEST &amp; BEST USE</x:t>
  </x:si>
  <x:si>
    <x:t xml:space="preserve">HBU_TIMING</x:t>
  </x:si>
  <x:si>
    <x:t xml:space="preserve">HBU_VACANT</x:t>
  </x:si>
  <x:si>
    <x:t xml:space="preserve">e.g. Office Development</x:t>
  </x:si>
  <x:si>
    <x:t xml:space="preserve">HBU_IMPROVED</x:t>
  </x:si>
  <x:si>
    <x:t xml:space="preserve">e.g. Continued Office Use</x:t>
  </x:si>
  <x:si>
    <x:t xml:space="preserve">HBU_USER</x:t>
  </x:si>
  <x:si>
    <x:t xml:space="preserve">Likely user description</x:t>
  </x:si>
  <x:si>
    <x:t xml:space="preserve">HBU_BUYER_VACANT</x:t>
  </x:si>
  <x:si>
    <x:t xml:space="preserve">Likely buyer if vacant</x:t>
  </x:si>
  <x:si>
    <x:t xml:space="preserve">HBU_BUYER_IMPROVED</x:t>
  </x:si>
  <x:si>
    <x:t xml:space="preserve">Likely buyer if improved</x:t>
  </x:si>
  <x:si>
    <x:t xml:space="preserve">VALUATION APPROACHES</x:t>
  </x:si>
  <x:si>
    <x:t xml:space="preserve">VALUE_TYPE</x:t>
  </x:si>
  <x:si>
    <x:t xml:space="preserve">e.g. As-Is Market Value</x:t>
  </x:si>
  <x:si>
    <x:t xml:space="preserve">VALUE_TYPE_SHORT</x:t>
  </x:si>
  <x:si>
    <x:t xml:space="preserve">e.g. As-Is</x:t>
  </x:si>
  <x:si>
    <x:t xml:space="preserve">CA_WEIGHT</x:t>
  </x:si>
  <x:si>
    <x:t xml:space="preserve">e.g. 0 or N/A</x:t>
  </x:si>
  <x:si>
    <x:t xml:space="preserve">SCA_WEIGHT</x:t>
  </x:si>
  <x:si>
    <x:t xml:space="preserve">e.g. 60%</x:t>
  </x:si>
  <x:si>
    <x:t xml:space="preserve">IA_WEIGHT</x:t>
  </x:si>
  <x:si>
    <x:t xml:space="preserve">e.g. 40%</x:t>
  </x:si>
  <x:si>
    <x:t xml:space="preserve">CA_DEVELOPED</x:t>
  </x:si>
  <x:si>
    <x:t xml:space="preserve">SCA_DEVELOPED</x:t>
  </x:si>
  <x:si>
    <x:t xml:space="preserve">IA_DEVELOPED</x:t>
  </x:si>
  <x:si>
    <x:t xml:space="preserve">VALUE_CONCLUSION</x:t>
  </x:si>
  <x:si>
    <x:t xml:space="preserve">e.g. $1,375,000</x:t>
  </x:si>
  <x:si>
    <x:t xml:space="preserve">VALUE_WORDS</x:t>
  </x:si>
  <x:si>
    <x:t xml:space="preserve">e.g. ONE MILLION...</x:t>
  </x:si>
  <x:si>
    <x:t xml:space="preserve">VALUE_WORDS_FORMAL</x:t>
  </x:si>
  <x:si>
    <x:t xml:space="preserve">SCA_VALUE</x:t>
  </x:si>
  <x:si>
    <x:t xml:space="preserve">IA_VALUE</x:t>
  </x:si>
  <x:si>
    <x:t xml:space="preserve">IA_STABILIZED_VALUE</x:t>
  </x:si>
  <x:si>
    <x:t xml:space="preserve">If different</x:t>
  </x:si>
  <x:si>
    <x:t xml:space="preserve">CAP_RATE</x:t>
  </x:si>
  <x:si>
    <x:t xml:space="preserve">e.g. 9.50%</x:t>
  </x:si>
  <x:si>
    <x:t xml:space="preserve">MARKETING_TIME</x:t>
  </x:si>
  <x:si>
    <x:t xml:space="preserve">e.g. Six to Twelve Months</x:t>
  </x:si>
  <x:si>
    <x:t xml:space="preserve">EXPOSURE_TIME</x:t>
  </x:si>
  <x:si>
    <x:t xml:space="preserve">INCOME</x:t>
  </x:si>
  <x:si>
    <x:t xml:space="preserve">MARKET_RENT_PSF</x:t>
  </x:si>
  <x:si>
    <x:t xml:space="preserve">e.g. $12.00</x:t>
  </x:si>
  <x:si>
    <x:t xml:space="preserve">OWNER_OCC_SF</x:t>
  </x:si>
  <x:si>
    <x:t xml:space="preserve">0 if none</x:t>
  </x:si>
  <x:si>
    <x:t xml:space="preserve">OCCUPANCY_PERCENT</x:t>
  </x:si>
  <x:si>
    <x:t xml:space="preserve">PGI</x:t>
  </x:si>
  <x:si>
    <x:t xml:space="preserve">e.g. $272,016</x:t>
  </x:si>
  <x:si>
    <x:t xml:space="preserve">EGI</x:t>
  </x:si>
  <x:si>
    <x:t xml:space="preserve">e.g. $231,214</x:t>
  </x:si>
  <x:si>
    <x:t xml:space="preserve">NOI</x:t>
  </x:si>
  <x:si>
    <x:t xml:space="preserve">e.g. $130,484</x:t>
  </x:si>
  <x:si>
    <x:t xml:space="preserve">TAX &amp; LEGAL</x:t>
  </x:si>
  <x:si>
    <x:t xml:space="preserve">TAX_YEAR</x:t>
  </x:si>
  <x:si>
    <x:t xml:space="preserve">e.g. 2024</x:t>
  </x:si>
  <x:si>
    <x:t xml:space="preserve">ASSESSMENT_RATIO</x:t>
  </x:si>
  <x:si>
    <x:t xml:space="preserve">e.g. 20%</x:t>
  </x:si>
  <x:si>
    <x:t xml:space="preserve">ASSESSED_VALUE</x:t>
  </x:si>
  <x:si>
    <x:t xml:space="preserve">ASSESSOR_VALUE</x:t>
  </x:si>
  <x:si>
    <x:t xml:space="preserve">INDICATED_TAX</x:t>
  </x:si>
  <x:si>
    <x:t xml:space="preserve">MILLAGE_RATE</x:t>
  </x:si>
  <x:si>
    <x:t xml:space="preserve">ACTUAL_TAX</x:t>
  </x:si>
  <x:si>
    <x:t xml:space="preserve">ENGAGEMENT &amp; FEE</x:t>
  </x:si>
  <x:si>
    <x:t xml:space="preserve">FEE_AMOUNT</x:t>
  </x:si>
  <x:si>
    <x:t xml:space="preserve">e.g. $3,500</x:t>
  </x:si>
  <x:si>
    <x:t xml:space="preserve">HOURLY_RATE</x:t>
  </x:si>
  <x:si>
    <x:t xml:space="preserve">e.g. $200/hour</x:t>
  </x:si>
  <x:si>
    <x:t xml:space="preserve">PAYMENT_TERMS</x:t>
  </x:si>
  <x:si>
    <x:t xml:space="preserve">e.g. Due upon delivery</x:t>
  </x:si>
  <x:si>
    <x:t xml:space="preserve">INSPECTION_DURATION</x:t>
  </x:si>
  <x:si>
    <x:t xml:space="preserve">e.g. one to two hours</x:t>
  </x:si>
  <x:si>
    <x:t xml:space="preserve">INVOICE</x:t>
  </x:si>
  <x:si>
    <x:t xml:space="preserve">INVOICE_NO</x:t>
  </x:si>
  <x:si>
    <x:t xml:space="preserve">INVOICE_DATE</x:t>
  </x:si>
  <x:si>
    <x:t xml:space="preserve">INVOICE_TOTAL</x:t>
  </x:si>
  <x:si>
    <x:t xml:space="preserve">Usually = FEE_AMOUNT</x:t>
  </x:si>
  <x:si>
    <x:t xml:space="preserve">DUE_DATE</x:t>
  </x:si>
  <x:si>
    <x:t xml:space="preserve">e.g. July 24, 2026</x:t>
  </x:si>
  <x:si>
    <x:t xml:space="preserve">SERVICE_DESCRIPTION</x:t>
  </x:si>
  <x:si>
    <x:t xml:space="preserve">One-line service desc</x:t>
  </x:si>
  <x:si>
    <x:t xml:space="preserve">ADDL_SERVICES</x:t>
  </x:si>
  <x:si>
    <x:t xml:space="preserve">ADDL_FEE</x:t>
  </x:si>
  <x:si>
    <x:t xml:space="preserve">REMIT_ADDRESS</x:t>
  </x:si>
  <x:si>
    <x:t xml:space="preserve">e.g. P.O. Box...</x:t>
  </x:si>
  <x:si>
    <x:t xml:space="preserve">INVOICE_NOTES</x:t>
  </x:si>
  <x:si>
    <x:t xml:space="preserve">Optional note to client</x:t>
  </x:si>
  <x:si>
    <x:t xml:space="preserve">SUBJECT PROPERTY REFERENCE</x:t>
  </x:si>
  <x:si>
    <x:t xml:space="preserve">Address</x:t>
  </x:si>
  <x:si>
    <x:t xml:space="preserve">City</x:t>
  </x:si>
  <x:si>
    <x:t xml:space="preserve">GBA (SF)</x:t>
  </x:si>
  <x:si>
    <x:t xml:space="preserve">Year Built</x:t>
  </x:si>
  <x:si>
    <x:t xml:space="preserve">Property Type</x:t>
  </x:si>
  <x:si>
    <x:t xml:space="preserve">Zoning</x:t>
  </x:si>
  <x:si>
    <x:t xml:space="preserve">Class</x:t>
  </x:si>
  <x:si>
    <x:t xml:space="preserve">Median HH Income</x:t>
  </x:si>
  <x:si>
    <x:t xml:space="preserve">Population</x:t>
  </x:si>
  <x:si>
    <x:t xml:space="preserve">Flood Zone</x:t>
  </x:si>
  <x:si>
    <x:t xml:space="preserve">LTB Ratio</x:t>
  </x:si>
  <x:si>
    <x:t xml:space="preserve">COMPARABLE SALES DATA</x:t>
  </x:si>
  <x:si>
    <x:t xml:space="preserve">Sale No.</x:t>
  </x:si>
  <x:si>
    <x:t xml:space="preserve">Sale Date</x:t>
  </x:si>
  <x:si>
    <x:t xml:space="preserve">Location</x:t>
  </x:si>
  <x:si>
    <x:t xml:space="preserve">Sale Price</x:t>
  </x:si>
  <x:si>
    <x:t xml:space="preserve">$/SF</x:t>
  </x:si>
  <x:si>
    <x:t xml:space="preserve">Overall Rate</x:t>
  </x:si>
  <x:si>
    <x:t xml:space="preserve">NOI $/SF</x:t>
  </x:si>
  <x:si>
    <x:t xml:space="preserve">ADJUSTMENT GRID</x:t>
  </x:si>
  <x:si>
    <x:t xml:space="preserve">Unadj. $/SF</x:t>
  </x:si>
  <x:si>
    <x:t xml:space="preserve">Market Adj.</x:t>
  </x:si>
  <x:si>
    <x:t xml:space="preserve">Adj. $/SF</x:t>
  </x:si>
  <x:si>
    <x:t xml:space="preserve">Comp GBA (SF)</x:t>
  </x:si>
  <x:si>
    <x:t xml:space="preserve">Size Adj.</x:t>
  </x:si>
  <x:si>
    <x:t xml:space="preserve">Location Adj.</x:t>
  </x:si>
  <x:si>
    <x:t xml:space="preserve">Net Adj.</x:t>
  </x:si>
  <x:si>
    <x:t xml:space="preserve">Indicated $/SF</x:t>
  </x:si>
  <x:si>
    <x:t xml:space="preserve">DEMOGRAPHICS (5-Mile Radius)</x:t>
  </x:si>
  <x:si>
    <x:t xml:space="preserve">Median Income</x:t>
  </x:si>
  <x:si>
    <x:t xml:space="preserve">Average</x:t>
  </x:si>
  <x:si>
    <x:t xml:space="preserve">Subject</x:t>
  </x:si>
  <x:si>
    <x:t xml:space="preserve">QUALITATIVE ANALYSIS</x:t>
  </x:si>
  <x:si>
    <x:t xml:space="preserve">Access</x:t>
  </x:si>
  <x:si>
    <x:t xml:space="preserve">Visibility</x:t>
  </x:si>
  <x:si>
    <x:t xml:space="preserve">Quality</x:t>
  </x:si>
  <x:si>
    <x:t xml:space="preserve">Condition</x:t>
  </x:si>
  <x:si>
    <x:t xml:space="preserve">Age</x:t>
  </x:si>
  <x:si>
    <x:t xml:space="preserve">LTB</x:t>
  </x:si>
  <x:si>
    <x:t xml:space="preserve">Utility</x:t>
  </x:si>
  <x:si>
    <x:t xml:space="preserve">Overall</x:t>
  </x:si>
  <x:si>
    <x:t xml:space="preserve">Similar</x:t>
  </x:si>
  <x:si>
    <x:t xml:space="preserve">Superior</x:t>
  </x:si>
  <x:si>
    <x:t xml:space="preserve">Inferior</x:t>
  </x:si>
  <x:si>
    <x:t xml:space="preserve">avg</x:t>
  </x:si>
  <x:si>
    <x:t xml:space="preserve">med</x:t>
  </x:si>
  <x:si>
    <x:t xml:space="preserve">SALES CONCLUSION</x:t>
  </x:si>
  <x:si>
    <x:t xml:space="preserve">Price per unit</x:t>
  </x:si>
  <x:si>
    <x:t xml:space="preserve">Property value</x:t>
  </x:si>
  <x:si>
    <x:t xml:space="preserve">Size Adjustment Worksheet  —  Dilmore Method</x:t>
  </x:si>
  <x:si>
    <x:t xml:space="preserve">Elasticity Curve:</x:t>
  </x:si>
  <x:si>
    <x:t xml:space="preserve">← Select: 80, 82.5, 85, 87.5, or 90</x:t>
  </x:si>
  <x:si>
    <x:t xml:space="preserve">Subject GBA (SF):</x:t>
  </x:si>
  <x:si>
    <x:t xml:space="preserve">← Linked to Intake tab (GBA row)</x:t>
  </x:si>
  <x:si>
    <x:t xml:space="preserve">Comp</x:t>
  </x:si>
  <x:si>
    <x:t xml:space="preserve">Ratio (Ac/As)</x:t>
  </x:si>
  <x:si>
    <x:t xml:space="preserve">Size Factor</x:t>
  </x:si>
  <x:si>
    <x:t xml:space="preserve">Adj %</x:t>
  </x:si>
  <x:si>
    <x:t xml:space="preserve">Adj $ / SF</x:t>
  </x:si>
  <x:si>
    <x:t xml:space="preserve">Notes</x:t>
  </x:si>
  <x:si>
    <x:t xml:space="preserve">Sale No. 1</x:t>
  </x:si>
  <x:si>
    <x:t xml:space="preserve">Sale No. 2</x:t>
  </x:si>
  <x:si>
    <x:t xml:space="preserve">Sale No. 3</x:t>
  </x:si>
  <x:si>
    <x:t xml:space="preserve">Sale No. 4</x:t>
  </x:si>
  <x:si>
    <x:t xml:space="preserve">Sale No. 5</x:t>
  </x:si>
  <x:si>
    <x:t xml:space="preserve">Sale No. 6</x:t>
  </x:si>
  <x:si>
    <x:t xml:space="preserve">Sale No. 7</x:t>
  </x:si>
  <x:si>
    <x:t xml:space="preserve">Sale No. 8</x:t>
  </x:si>
  <x:si>
    <x:t xml:space="preserve">Sale No. 9</x:t>
  </x:si>
  <x:si>
    <x:t xml:space="preserve">Sale No. 10</x:t>
  </x:si>
  <x:si>
    <x:t xml:space="preserve">Green cells = manual entry.  Factor &amp; Adj % columns are auto-filled by: python axiom.py deliver &lt;file_no&gt;</x:t>
  </x:si>
  <x:si>
    <x:t xml:space="preserve">COMPARABLE LAND SALES — SUMMARY</x:t>
  </x:si>
  <x:si>
    <x:t xml:space="preserve">Site Area (SF)</x:t>
  </x:si>
  <x:si>
    <x:t xml:space="preserve">Price/SF</x:t>
  </x:si>
  <x:si>
    <x:t xml:space="preserve">Shape</x:t>
  </x:si>
  <x:si>
    <x:t xml:space="preserve">Jun 2023</x:t>
  </x:si>
  <x:si>
    <x:t xml:space="preserve">Zone X</x:t>
  </x:si>
  <x:si>
    <x:t xml:space="preserve">C-3</x:t>
  </x:si>
  <x:si>
    <x:t xml:space="preserve">Rectangular</x:t>
  </x:si>
  <x:si>
    <x:t xml:space="preserve">Mar 2022</x:t>
  </x:si>
  <x:si>
    <x:t xml:space="preserve">C-2</x:t>
  </x:si>
  <x:si>
    <x:t xml:space="preserve">Irregular</x:t>
  </x:si>
  <x:si>
    <x:t xml:space="preserve">Nov 2021</x:t>
  </x:si>
  <x:si>
    <x:t xml:space="preserve">Aug 2022</x:t>
  </x:si>
  <x:si>
    <x:t xml:space="preserve">Zone AE</x:t>
  </x:si>
  <x:si>
    <x:t xml:space="preserve">B-2</x:t>
  </x:si>
  <x:si>
    <x:t xml:space="preserve">Jan 2024</x:t>
  </x:si>
  <x:si>
    <x:t xml:space="preserve">C-5</x:t>
  </x:si>
  <x:si>
    <x:t xml:space="preserve">MEAN</x:t>
  </x:si>
  <x:si>
    <x:t xml:space="preserve">SUBJECT</x:t>
  </x:si>
  <x:si>
    <x:t xml:space="preserve">55452</x:t>
  </x:si>
  <x:si>
    <x:t xml:space="preserve">LAND SALES ADJUSTMENT GRID</x:t>
  </x:si>
  <x:si>
    <x:t xml:space="preserve">Mkt Cond Adj.</x:t>
  </x:si>
  <x:si>
    <x:t xml:space="preserve">Adj. Price/SF</x:t>
  </x:si>
  <x:si>
    <x:t xml:space="preserve">LAND VALUE CONCLUSION</x:t>
  </x:si>
  <x:si>
    <x:t xml:space="preserve">Indicated Range ($/SF):</x:t>
  </x:si>
  <x:si>
    <x:t xml:space="preserve">to</x:t>
  </x:si>
  <x:si>
    <x:t xml:space="preserve">Concluded Land Value ($/SF):</x:t>
  </x:si>
  <x:si>
    <x:t xml:space="preserve">Site Area (SF):</x:t>
  </x:si>
  <x:si>
    <x:t xml:space="preserve">Concluded Land Value:</x:t>
  </x:si>
  <x:si>
    <x:t xml:space="preserve">LAND SALES — ADJUSTMENT INPUTS</x:t>
  </x:si>
  <x:si>
    <x:t xml:space="preserve">Enter adjustment % for each comp (positive = upward, negative = downward, 0 = no adjustment). Notes are optional; used by AI narrative generator.</x:t>
  </x:si>
  <x:si>
    <x:t xml:space="preserve">Comp No.</x:t>
  </x:si>
  <x:si>
    <x:t xml:space="preserve">Location (auto-ref)</x:t>
  </x:si>
  <x:si>
    <x:t xml:space="preserve">Mkt Cond
Adj %</x:t>
  </x:si>
  <x:si>
    <x:t xml:space="preserve">Mkt Cond
Note</x:t>
  </x:si>
  <x:si>
    <x:t xml:space="preserve">Location
Adj %</x:t>
  </x:si>
  <x:si>
    <x:t xml:space="preserve">Location
Note</x:t>
  </x:si>
  <x:si>
    <x:t xml:space="preserve">Other
Adj %</x:t>
  </x:si>
  <x:si>
    <x:t xml:space="preserve">Other
Note</x:t>
  </x:si>
  <x:si>
    <x:t xml:space="preserve">Dilmore
Size Adj %</x:t>
  </x:si>
  <x:si>
    <x:t xml:space="preserve">Comp 1 Address</x:t>
  </x:si>
  <x:si>
    <x:t xml:space="preserve">Comp 2 Address</x:t>
  </x:si>
  <x:si>
    <x:t xml:space="preserve">Comp 3 Address</x:t>
  </x:si>
  <x:si>
    <x:t xml:space="preserve">Comp 4 Address</x:t>
  </x:si>
  <x:si>
    <x:t xml:space="preserve">Comp 5 Address</x:t>
  </x:si>
  <x:si>
    <x:t xml:space="preserve">Comp 6 Address</x:t>
  </x:si>
  <x:si>
    <x:t xml:space="preserve">Comp 7 Address</x:t>
  </x:si>
  <x:si>
    <x:t xml:space="preserve">Comp 8 Address</x:t>
  </x:si>
  <x:si>
    <x:t xml:space="preserve">Comp 9 Address</x:t>
  </x:si>
  <x:si>
    <x:t xml:space="preserve">Comp 10 Address</x:t>
  </x:si>
  <x:si>
    <x:t xml:space="preserve">Note: Adjustment % should match values in the MARKET CHART adjustment grid. Narrative AI reads these inputs at deliver time.</x:t>
  </x:si>
  <x:si>
    <x:t xml:space="preserve">COST APPROACH — DEPRECIATION ANALYSIS</x:t>
  </x:si>
  <x:si>
    <x:t xml:space="preserve">BUILDING REPRODUCTION COST (DIRECT COST)</x:t>
  </x:si>
  <x:si>
    <x:t xml:space="preserve">Item</x:t>
  </x:si>
  <x:si>
    <x:t xml:space="preserve">Value</x:t>
  </x:si>
  <x:si>
    <x:t xml:space="preserve">Units</x:t>
  </x:si>
  <x:si>
    <x:t xml:space="preserve">Base Cost/SF (Marshall &amp; Swift)</x:t>
  </x:si>
  <x:si>
    <x:t xml:space="preserve">← Update per cost manual for current year</x:t>
  </x:si>
  <x:si>
    <x:t xml:space="preserve">SF</x:t>
  </x:si>
  <x:si>
    <x:t xml:space="preserve">Area Size Adjustment</x:t>
  </x:si>
  <x:si>
    <x:t xml:space="preserve">mult.</x:t>
  </x:si>
  <x:si>
    <x:t xml:space="preserve">Applied to base cost</x:t>
  </x:si>
  <x:si>
    <x:t xml:space="preserve">Time/Local Conditions Adjustment</x:t>
  </x:si>
  <x:si>
    <x:t xml:space="preserve">Adjust to current/local market</x:t>
  </x:si>
  <x:si>
    <x:t xml:space="preserve">Building Cost/SF (Adjusted)</x:t>
  </x:si>
  <x:si>
    <x:t xml:space="preserve">Total Reproduction Cost (Direct)</x:t>
  </x:si>
  <x:si>
    <x:t xml:space="preserve">$</x:t>
  </x:si>
  <x:si>
    <x:t xml:space="preserve">PHYSICAL DETERIORATION — SHORT-LIVED ITEMS</x:t>
  </x:si>
  <x:si>
    <x:t xml:space="preserve">Component</x:t>
  </x:si>
  <x:si>
    <x:t xml:space="preserve">Cost New</x:t>
  </x:si>
  <x:si>
    <x:t xml:space="preserve">Eff. Age (Yrs)</x:t>
  </x:si>
  <x:si>
    <x:t xml:space="preserve">Typical Life (Yrs)</x:t>
  </x:si>
  <x:si>
    <x:t xml:space="preserve">% Depr.</x:t>
  </x:si>
  <x:si>
    <x:t xml:space="preserve">Value of Depr.</x:t>
  </x:si>
  <x:si>
    <x:t xml:space="preserve">HVAC</x:t>
  </x:si>
  <x:si>
    <x:t xml:space="preserve">Floor Cover</x:t>
  </x:si>
  <x:si>
    <x:t xml:space="preserve">Roof Cover</x:t>
  </x:si>
  <x:si>
    <x:t xml:space="preserve">Interior Fin.</x:t>
  </x:si>
  <x:si>
    <x:t xml:space="preserve">TOTAL SHORT-LIVED ITEMS</x:t>
  </x:si>
  <x:si>
    <x:t xml:space="preserve">SITE IMPROVEMENTS (DEPRECIATED SEPARATELY)</x:t>
  </x:si>
  <x:si>
    <x:t xml:space="preserve">Landscaping / Retaining Wall</x:t>
  </x:si>
  <x:si>
    <x:t xml:space="preserve">Signage / Lighting</x:t>
  </x:si>
  <x:si>
    <x:t xml:space="preserve">Paving / Curbing</x:t>
  </x:si>
  <x:si>
    <x:t xml:space="preserve">Site Work / Utilities</x:t>
  </x:si>
  <x:si>
    <x:t xml:space="preserve">TOTAL SITE IMPROVEMENTS</x:t>
  </x:si>
  <x:si>
    <x:t xml:space="preserve">PHYSICAL DETERIORATION — LONG-LIVED ITEMS (AGE-LIFE METHOD)</x:t>
  </x:si>
  <x:si>
    <x:t xml:space="preserve">Less: Short-Lived Items (Cost New)</x:t>
  </x:si>
  <x:si>
    <x:t xml:space="preserve">Long-Lived Items Cost</x:t>
  </x:si>
  <x:si>
    <x:t xml:space="preserve">Effective Age (years)</x:t>
  </x:si>
  <x:si>
    <x:t xml:space="preserve">← Appraiser judgment</x:t>
  </x:si>
  <x:si>
    <x:t xml:space="preserve">Total Economic Life (years)</x:t>
  </x:si>
  <x:si>
    <x:t xml:space="preserve">Depreciation Rate (EA / EL)</x:t>
  </x:si>
  <x:si>
    <x:t xml:space="preserve">Long-Lived Depreciation</x:t>
  </x:si>
  <x:si>
    <x:t xml:space="preserve">COST APPROACH — VALUE SUMMARY</x:t>
  </x:si>
  <x:si>
    <x:t xml:space="preserve">Values reference cost_approach and land_sales tabs. Change inputs there.</x:t>
  </x:si>
  <x:si>
    <x:t xml:space="preserve">Amount</x:t>
  </x:si>
  <x:si>
    <x:t xml:space="preserve">LAND VALUE</x:t>
  </x:si>
  <x:si>
    <x:t xml:space="preserve">Concluded Land Value (from land_sales tab)</x:t>
  </x:si>
  <x:si>
    <x:t xml:space="preserve">IMPROVEMENTS — REPRODUCTION COST</x:t>
  </x:si>
  <x:si>
    <x:t xml:space="preserve">LESS: DEPRECIATION</x:t>
  </x:si>
  <x:si>
    <x:t xml:space="preserve">      Physical — Curable (Deferred Maintenance)</x:t>
  </x:si>
  <x:si>
    <x:t xml:space="preserve">      Physical — Incurable (Short-Lived Items)</x:t>
  </x:si>
  <x:si>
    <x:t xml:space="preserve">      Physical — Incurable (Long-Lived Items)</x:t>
  </x:si>
  <x:si>
    <x:t xml:space="preserve">      Functional Obsolescence</x:t>
  </x:si>
  <x:si>
    <x:t xml:space="preserve">      External Obsolescence</x:t>
  </x:si>
  <x:si>
    <x:t xml:space="preserve">Total Depreciation</x:t>
  </x:si>
  <x:si>
    <x:t xml:space="preserve">Depreciated Building Cost</x:t>
  </x:si>
  <x:si>
    <x:t xml:space="preserve">SITE IMPROVEMENTS</x:t>
  </x:si>
  <x:si>
    <x:t xml:space="preserve">Site Improvements (Cost New)</x:t>
  </x:si>
  <x:si>
    <x:t xml:space="preserve">Less: Depreciation of Site Improvements</x:t>
  </x:si>
  <x:si>
    <x:t xml:space="preserve">Depreciated Site Improvements</x:t>
  </x:si>
  <x:si>
    <x:t xml:space="preserve">INDICATED VALUE VIA COST APPROACH</x:t>
  </x:si>
  <x:si>
    <x:t xml:space="preserve">Land Value</x:t>
  </x:si>
  <x:si>
    <x:t xml:space="preserve">Total Indicated Value</x:t>
  </x:si>
  <x:si>
    <x:t xml:space="preserve">Rounded Value Indication (Cost Approach)</x:t>
  </x:si>
  <x:si>
    <x:t xml:space="preserve">NOI ADJUSTMENT — COMPARABLE SALES</x:t>
  </x:si>
  <x:si>
    <x:t xml:space="preserve">Sale ($/SF)</x:t>
  </x:si>
  <x:si>
    <x:t xml:space="preserve">NOI/SF (Comp)</x:t>
  </x:si>
  <x:si>
    <x:t xml:space="preserve">NOI/SF (Subject)</x:t>
  </x:si>
  <x:si>
    <x:t xml:space="preserve">NOI Adj. Factor</x:t>
  </x:si>
  <x:si>
    <x:t xml:space="preserve">Adj. Indicated ($/SF)</x:t>
  </x:si>
  <x:si>
    <x:t xml:space="preserve">Sale</x:t>
  </x:si>
  <x:si>
    <x:t xml:space="preserve">Subject NOI</x:t>
  </x:si>
  <x:si>
    <x:t xml:space="preserve">Adj.</x:t>
  </x:si>
  <x:si>
    <x:t xml:space="preserve">Ind. Value</x:t>
  </x:si>
  <x:si>
    <x:t xml:space="preserve">N/A</x:t>
  </x:si>
  <x:si>
    <x:t xml:space="preserve">Note: N/A = comp lacks reliable income data.</x:t>
  </x:si>
  <x:si>
    <x:t xml:space="preserve">Method 1 — Comparable Sales (Implied Cap Rates)</x:t>
  </x:si>
  <x:si>
    <x:t xml:space="preserve">Implied Rate</x:t>
  </x:si>
  <x:si>
    <x:t xml:space="preserve">Sale 1</x:t>
  </x:si>
  <x:si>
    <x:t xml:space="preserve">Q4 2025</x:t>
  </x:si>
  <x:si>
    <x:t xml:space="preserve">Sale 2</x:t>
  </x:si>
  <x:si>
    <x:t xml:space="preserve">Q2 2025</x:t>
  </x:si>
  <x:si>
    <x:t xml:space="preserve">Sale 4</x:t>
  </x:si>
  <x:si>
    <x:t xml:space="preserve">Q1 2024</x:t>
  </x:si>
  <x:si>
    <x:t xml:space="preserve">Sale 5</x:t>
  </x:si>
  <x:si>
    <x:t xml:space="preserve">Q4 2023</x:t>
  </x:si>
  <x:si>
    <x:t xml:space="preserve">Indicated:</x:t>
  </x:si>
  <x:si>
    <x:t xml:space="preserve">Method 2 — Investor Surveys</x:t>
  </x:si>
  <x:si>
    <x:t xml:space="preserve">CBRE Cap Rate Survey</x:t>
  </x:si>
  <x:si>
    <x:t xml:space="preserve">CoStar Rate Report</x:t>
  </x:si>
  <x:si>
    <x:t xml:space="preserve">9.00% - 10.00%</x:t>
  </x:si>
  <x:si>
    <x:t xml:space="preserve">6.89% - 11.08%</x:t>
  </x:si>
  <x:si>
    <x:t xml:space="preserve">Subject property type - Q4 2025</x:t>
  </x:si>
  <x:si>
    <x:t xml:space="preserve">POTENTIAL GROSS INCOME — MARKET RENT CALCULATION</x:t>
  </x:si>
  <x:si>
    <x:t xml:space="preserve">PGI = Total GBA at market rent (stabilized leased fee basis). Actual collections shown for reference only.</x:t>
  </x:si>
  <x:si>
    <x:t xml:space="preserve">Market Rent Assumption ($/SF):</x:t>
  </x:si>
  <x:si>
    <x:t xml:space="preserve">← Update this cell to recalculate PGI</x:t>
  </x:si>
  <x:si>
    <x:t xml:space="preserve">Unit</x:t>
  </x:si>
  <x:si>
    <x:t xml:space="preserve">Tenant</x:t>
  </x:si>
  <x:si>
    <x:t xml:space="preserve">Size (SF)</x:t>
  </x:si>
  <x:si>
    <x:t xml:space="preserve">Mkt Rate ($/SF)</x:t>
  </x:si>
  <x:si>
    <x:t xml:space="preserve">Mkt PGI (Annual)</x:t>
  </x:si>
  <x:si>
    <x:t xml:space="preserve">Actual Rate</x:t>
  </x:si>
  <x:si>
    <x:t xml:space="preserve">Actual Annual</x:t>
  </x:si>
  <x:si>
    <x:t xml:space="preserve">100</x:t>
  </x:si>
  <x:si>
    <x:t xml:space="preserve">Vacant</x:t>
  </x:si>
  <x:si>
    <x:t xml:space="preserve">—</x:t>
  </x:si>
  <x:si>
    <x:t xml:space="preserve">103</x:t>
  </x:si>
  <x:si>
    <x:t xml:space="preserve">Occupied</x:t>
  </x:si>
  <x:si>
    <x:t xml:space="preserve">105</x:t>
  </x:si>
  <x:si>
    <x:t xml:space="preserve">106</x:t>
  </x:si>
  <x:si>
    <x:t xml:space="preserve">107</x:t>
  </x:si>
  <x:si>
    <x:t xml:space="preserve">108</x:t>
  </x:si>
  <x:si>
    <x:t xml:space="preserve">110</x:t>
  </x:si>
  <x:si>
    <x:t xml:space="preserve">100A</x:t>
  </x:si>
  <x:si>
    <x:t xml:space="preserve">200</x:t>
  </x:si>
  <x:si>
    <x:t xml:space="preserve">Owner-Occ</x:t>
  </x:si>
  <x:si>
    <x:t xml:space="preserve">TOTALS</x:t>
  </x:si>
  <x:si>
    <x:t xml:space="preserve">CONCLUDED PGI (feeds Income Summary):</x:t>
  </x:si>
  <x:si>
    <x:t xml:space="preserve">Change market rent in D5 → PGI updates → income_summary!D5 updates → NOI/Value update automatically.</x:t>
  </x:si>
  <x:si>
    <x:t xml:space="preserve">LEASE COMPARABLE ANALYSIS</x:t>
  </x:si>
  <x:si>
    <x:t xml:space="preserve">Rate ($/SF)</x:t>
  </x:si>
  <x:si>
    <x:t xml:space="preserve">Lease Type</x:t>
  </x:si>
  <x:si>
    <x:t xml:space="preserve">Begin</x:t>
  </x:si>
  <x:si>
    <x:t xml:space="preserve">End</x:t>
  </x:si>
  <x:si>
    <x:t xml:space="preserve">Triple-Net</x:t>
  </x:si>
  <x:si>
    <x:t xml:space="preserve">Unknown</x:t>
  </x:si>
  <x:si>
    <x:t xml:space="preserve">Full Service</x:t>
  </x:si>
  <x:si>
    <x:t xml:space="preserve">Modified Gross</x:t>
  </x:si>
  <x:si>
    <x:t xml:space="preserve">LEASE RATE SUMMARY ($/SF)</x:t>
  </x:si>
  <x:si>
    <x:t xml:space="preserve">Metric</x:t>
  </x:si>
  <x:si>
    <x:t xml:space="preserve">Low</x:t>
  </x:si>
  <x:si>
    <x:t xml:space="preserve">Median</x:t>
  </x:si>
  <x:si>
    <x:t xml:space="preserve">High</x:t>
  </x:si>
  <x:si>
    <x:t xml:space="preserve">Mean</x:t>
  </x:si>
  <x:si>
    <x:t xml:space="preserve">Count</x:t>
  </x:si>
  <x:si>
    <x:t xml:space="preserve">LEASE SIZE SUMMARY (SF)</x:t>
  </x:si>
  <x:si>
    <x:t xml:space="preserve">LEASE COMPARABLE — QUALITATIVE ANALYSIS</x:t>
  </x:si>
  <x:si>
    <x:t xml:space="preserve">Size</x:t>
  </x:si>
  <x:si>
    <x:t xml:space="preserve">Lease Terms</x:t>
  </x:si>
  <x:si>
    <x:t xml:space="preserve">MARKET RENT CONCLUSION</x:t>
  </x:si>
  <x:si>
    <x:t xml:space="preserve">Range of Comparable Rates:</x:t>
  </x:si>
  <x:si>
    <x:t xml:space="preserve">$11.00 – $17.00/SF (NNN-equivalent basis)</x:t>
  </x:si>
  <x:si>
    <x:t xml:space="preserve">Most Comparable Comps (NNN):</x:t>
  </x:si>
  <x:si>
    <x:t xml:space="preserve">Comps 1, 3, 5, 7, 8 — range $12.00–$15.17/SF</x:t>
  </x:si>
  <x:si>
    <x:t xml:space="preserve">Full-Service Adjustment:</x:t>
  </x:si>
  <x:si>
    <x:t xml:space="preserve">FS comps adjusted; NNN equivalent estimated ~$7–$11/SF net</x:t>
  </x:si>
  <x:si>
    <x:t xml:space="preserve">Size Adjustment:</x:t>
  </x:si>
  <x:si>
    <x:t xml:space="preserve">Subject units avg ~2,264 SF; small-unit premiums apply to Comps 2, 4, 6, 9, 11</x:t>
  </x:si>
  <x:si>
    <x:t xml:space="preserve">Concluded Market Rent:</x:t>
  </x:si>
  <x:si>
    <x:t xml:space="preserve">$12.00/SF NNN (supported by Comps 1, 3, and 7)</x:t>
  </x:si>
  <x:si>
    <x:t xml:space="preserve">Color Key:</x:t>
  </x:si>
  <x:si>
    <x:t xml:space="preserve">SUBJECT PROPERTY — RENT ROLL</x:t>
  </x:si>
  <x:si>
    <x:t xml:space="preserve">Monthly Rent</x:t>
  </x:si>
  <x:si>
    <x:t xml:space="preserve">Annual Rent</x:t>
  </x:si>
  <x:si>
    <x:t xml:space="preserve">Lease Start</x:t>
  </x:si>
  <x:si>
    <x:t xml:space="preserve">Lease End</x:t>
  </x:si>
  <x:si>
    <x:t xml:space="preserve">Start Date</x:t>
  </x:si>
  <x:si>
    <x:t xml:space="preserve">End Date</x:t>
  </x:si>
  <x:si>
    <x:t xml:space="preserve">TOTALS / AVERAGES</x:t>
  </x:si>
  <x:si>
    <x:t xml:space="preserve">Occupied Only</x:t>
  </x:si>
  <x:si>
    <x:t xml:space="preserve">OPERATING EXPENSE COMPARISON</x:t>
  </x:si>
  <x:si>
    <x:t xml:space="preserve">Benchmarks from CoStar/BOMA survey data. Subject estimates derived from market benchmarks and appraiser judgment. Values feed Income Summary.</x:t>
  </x:si>
  <x:si>
    <x:t xml:space="preserve">Expense Category</x:t>
  </x:si>
  <x:si>
    <x:t xml:space="preserve">Subject
Concluded $/SF</x:t>
  </x:si>
  <x:si>
    <x:t xml:space="preserve">Subject
Concluded Annual</x:t>
  </x:si>
  <x:si>
    <x:t xml:space="preserve">Management</x:t>
  </x:si>
  <x:si>
    <x:t xml:space="preserve">% of EGI</x:t>
  </x:si>
  <x:si>
    <x:t xml:space="preserve">(formula-driven in Income Summary)</x:t>
  </x:si>
  <x:si>
    <x:t xml:space="preserve">Ad Valorem Taxes</x:t>
  </x:si>
  <x:si>
    <x:t xml:space="preserve">Insurance</x:t>
  </x:si>
  <x:si>
    <x:t xml:space="preserve">Utilities</x:t>
  </x:si>
  <x:si>
    <x:t xml:space="preserve">Maintenance &amp; Repairs</x:t>
  </x:si>
  <x:si>
    <x:t xml:space="preserve">Reserves for Replacement</x:t>
  </x:si>
  <x:si>
    <x:t xml:space="preserve">Professional Fees &amp; Misc.</x:t>
  </x:si>
  <x:si>
    <x:t xml:space="preserve">Note: Management excluded from totals (percentage-based in Income Summary). Blue cells are editable inputs — update Subject Concluded Annual to adjust expense assumptions.</x:t>
  </x:si>
  <x:si>
    <x:t xml:space="preserve">INCOME APPROACH — DIRECT CAPITALIZATION</x:t>
  </x:si>
  <x:si>
    <x:t xml:space="preserve">Income / Expense Item</x:t>
  </x:si>
  <x:si>
    <x:t xml:space="preserve">Rate / Basis</x:t>
  </x:si>
  <x:si>
    <x:t xml:space="preserve">Income</x:t>
  </x:si>
  <x:si>
    <x:t xml:space="preserve">Potential Gross Income</x:t>
  </x:si>
  <x:si>
    <x:t xml:space="preserve">Expense Reimbursements</x:t>
  </x:si>
  <x:si>
    <x:t xml:space="preserve">Less: Vacancy &amp; Credit Loss</x:t>
  </x:si>
  <x:si>
    <x:t xml:space="preserve">Effective Gross Income</x:t>
  </x:si>
  <x:si>
    <x:t xml:space="preserve">Operating Expenses</x:t>
  </x:si>
  <x:si>
    <x:t xml:space="preserve">    Management</x:t>
  </x:si>
  <x:si>
    <x:t xml:space="preserve">    Ad Valorem Taxes</x:t>
  </x:si>
  <x:si>
    <x:t xml:space="preserve">    Insurance</x:t>
  </x:si>
  <x:si>
    <x:t xml:space="preserve">    Utilities</x:t>
  </x:si>
  <x:si>
    <x:t xml:space="preserve">    Maintenance &amp; Repairs</x:t>
  </x:si>
  <x:si>
    <x:t xml:space="preserve">    Reserves for Replacement</x:t>
  </x:si>
  <x:si>
    <x:t xml:space="preserve">    Professional Fees &amp; Misc.</x:t>
  </x:si>
  <x:si>
    <x:t xml:space="preserve">Total Operating Expenses</x:t>
  </x:si>
  <x:si>
    <x:t xml:space="preserve">Net Operating Income</x:t>
  </x:si>
  <x:si>
    <x:t xml:space="preserve">Capitalization Rate Applied</x:t>
  </x:si>
  <x:si>
    <x:t xml:space="preserve">Indicated Value by Income Approach</x:t>
  </x:si>
  <x:si>
    <x:t xml:space="preserve">Rounded Value Indication</x:t>
  </x:si>
  <x:si>
    <x:t xml:space="preserve">Note: PGI = market-derived (not actual collections). Actual collections: see subject_units tab.</x:t>
  </x:si>
  <x:si>
    <x:t xml:space="preserve">OUTPUTS — SALES COMPARISON APPROACH</x:t>
  </x:si>
  <x:si>
    <x:t xml:space="preserve">Placeholder</x:t>
  </x:si>
  <x:si>
    <x:t xml:space="preserve">Raw Value</x:t>
  </x:si>
  <x:si>
    <x:t xml:space="preserve">Report Format (→ Word)</x:t>
  </x:si>
  <x:si>
    <x:t xml:space="preserve">Summary Statistics</x:t>
  </x:si>
  <x:si>
    <x:t xml:space="preserve">SCA_COMP_UNIT_LOW</x:t>
  </x:si>
  <x:si>
    <x:t xml:space="preserve">Unadj. low $/SF</x:t>
  </x:si>
  <x:si>
    <x:t xml:space="preserve">SCA_COMP_UNIT_HIGH</x:t>
  </x:si>
  <x:si>
    <x:t xml:space="preserve">Unadj. high $/SF</x:t>
  </x:si>
  <x:si>
    <x:t xml:space="preserve">SCA_COMP_UNIT_MEDIAN</x:t>
  </x:si>
  <x:si>
    <x:t xml:space="preserve">Unadj. median $/SF</x:t>
  </x:si>
  <x:si>
    <x:t xml:space="preserve">SCA_ADJ_UNIT_LOW</x:t>
  </x:si>
  <x:si>
    <x:t xml:space="preserve">Indicated low $/SF (adj.)</x:t>
  </x:si>
  <x:si>
    <x:t xml:space="preserve">SCA_ADJ_UNIT_HIGH</x:t>
  </x:si>
  <x:si>
    <x:t xml:space="preserve">Indicated high $/SF (adj.)</x:t>
  </x:si>
  <x:si>
    <x:t xml:space="preserve">SCA_ADJ_UNIT_MEDIAN</x:t>
  </x:si>
  <x:si>
    <x:t xml:space="preserve">Indicated median $/SF (adj.)</x:t>
  </x:si>
  <x:si>
    <x:t xml:space="preserve">Report Placeholders</x:t>
  </x:si>
  <x:si>
    <x:t xml:space="preserve">SCA_CONCLUDED_PSF</x:t>
  </x:si>
  <x:si>
    <x:t xml:space="preserve">Concluded $/SF → multiply by subject GBA</x:t>
  </x:si>
  <x:si>
    <x:t xml:space="preserve">← Round to nearest $25,000 before reporting</x:t>
  </x:si>
  <x:si>
    <x:t xml:space="preserve">SCA_ADJ_UNIT_MEAN</x:t>
  </x:si>
  <x:si>
    <x:t xml:space="preserve">SCA_COMP_UNIT_MEAN</x:t>
  </x:si>
  <x:si>
    <x:t xml:space="preserve">SCA_COMP_SIZE_LOW</x:t>
  </x:si>
  <x:si>
    <x:t xml:space="preserve">SCA_COMP_SIZE_HIGH</x:t>
  </x:si>
  <x:si>
    <x:t xml:space="preserve">SCA_COMP_SIZE_MEAN</x:t>
  </x:si>
  <x:si>
    <x:t xml:space="preserve">SCA_COMP_SIZE_MEDIAN</x:t>
  </x:si>
  <x:si>
    <x:t xml:space="preserve">SCA_ADJ_NARROW_LOW</x:t>
  </x:si>
  <x:si>
    <x:t xml:space="preserve">SCA_ADJ_NARROW_HIGH</x:t>
  </x:si>
  <x:si>
    <x:t xml:space="preserve">SCA_ADJ_NARROW_MEAN</x:t>
  </x:si>
  <x:si>
    <x:t xml:space="preserve">SCA_ADJ_NARROW_MEDIAN</x:t>
  </x:si>
  <x:si>
    <x:t xml:space="preserve">SCA_ADJ_RELEVANT_MEAN</x:t>
  </x:si>
  <x:si>
    <x:t xml:space="preserve">SCA_ADJ_RELEVANT_MEDIAN</x:t>
  </x:si>
  <x:si>
    <x:t xml:space="preserve">SCA_QUAL_CONCLUSION</x:t>
  </x:si>
  <x:si>
    <x:t xml:space="preserve">OUTPUTS — CAP RATE ANALYSIS</x:t>
  </x:si>
  <x:si>
    <x:t xml:space="preserve">Indicated Rate</x:t>
  </x:si>
  <x:si>
    <x:t xml:space="preserve">CAP_RATE_METHOD1</x:t>
  </x:si>
  <x:si>
    <x:t xml:space="preserve">Implied from comp sales</x:t>
  </x:si>
  <x:si>
    <x:t xml:space="preserve">Selected Rate (Report Placeholder)</x:t>
  </x:si>
  <x:si>
    <x:t xml:space="preserve">← Set cap rate in income_summary tab (C19)</x:t>
  </x:si>
  <x:si>
    <x:t xml:space="preserve">PER-COMP DATA — for comp page automation</x:t>
  </x:si>
  <x:si>
    <x:t xml:space="preserve">Python iterates these rows (one per comp). Add/remove rows as comps change.</x:t>
  </x:si>
  <x:si>
    <x:t xml:space="preserve">OUTPUTS — INCOME APPROACH</x:t>
  </x:si>
  <x:si>
    <x:t xml:space="preserve">Potential gross income</x:t>
  </x:si>
  <x:si>
    <x:t xml:space="preserve">PGI_MONTHLY</x:t>
  </x:si>
  <x:si>
    <x:t xml:space="preserve">Effective gross income</x:t>
  </x:si>
  <x:si>
    <x:t xml:space="preserve">VACANCY_RATE</x:t>
  </x:si>
  <x:si>
    <x:t xml:space="preserve">Applied vacancy rate</x:t>
  </x:si>
  <x:si>
    <x:t xml:space="preserve">Net operating income</x:t>
  </x:si>
  <x:si>
    <x:t xml:space="preserve">IA_CAP_RATE</x:t>
  </x:si>
  <x:si>
    <x:t xml:space="preserve">Applied cap rate</x:t>
  </x:si>
  <x:si>
    <x:t xml:space="preserve">LOAN_RATE</x:t>
  </x:si>
  <x:si>
    <x:t xml:space="preserve">Income approach value</x:t>
  </x:si>
  <x:si>
    <x:t xml:space="preserve">TOTAL_EXPENSES</x:t>
  </x:si>
  <x:si>
    <x:t xml:space="preserve">Total operating expenses</x:t>
  </x:si>
  <x:si>
    <x:t xml:space="preserve">OUTPUTS — MARKET RENT / INCOME INPUTS</x:t>
  </x:si>
  <x:si>
    <x:t xml:space="preserve">MARKET_RENT</x:t>
  </x:si>
  <x:si>
    <x:t xml:space="preserve">Market rent assumption (from pgi_calc tab)</x:t>
  </x:si>
  <x:si>
    <x:t xml:space="preserve">Market rent $/SF (numeric format)</x:t>
  </x:si>
  <x:si>
    <x:t xml:space="preserve">OUTPUTS — COST APPROACH</x:t>
  </x:si>
  <x:si>
    <x:t xml:space="preserve">LAND_VALUE_CONCLUDED</x:t>
  </x:si>
  <x:si>
    <x:t xml:space="preserve">Land value concluded</x:t>
  </x:si>
  <x:si>
    <x:t xml:space="preserve">CA_VALUE</x:t>
  </x:si>
  <x:si>
    <x:t xml:space="preserve">Cost approach rounded value</x:t>
  </x:si>
  <x:si>
    <x:t xml:space="preserve">COST_APPROACH_VALUE_ROUNDED</x:t>
  </x:si>
  <x:si>
    <x:t xml:space="preserve">DEPRECIATED_BLDG_COST</x:t>
  </x:si>
  <x:si>
    <x:t xml:space="preserve">DEPRECIATED_SITE_IMP</x:t>
  </x:si>
  <x:si>
    <x:t xml:space="preserve">SITE_IMP_COST_NEW</x:t>
  </x:si>
  <x:si>
    <x:t xml:space="preserve">SHORT_LIVED_DEPRECIATION_TOTAL</x:t>
  </x:si>
  <x:si>
    <x:t xml:space="preserve">SITE_IMPROVEMENT_DEPRECIATION_TOTAL</x:t>
  </x:si>
  <x:si>
    <x:t xml:space="preserve">DEVELOPER_PROFIT_RATE</x:t>
  </x:si>
  <x:si>
    <x:t xml:space="preserve">DEVELOPER_PROFIT_AMOUNT</x:t>
  </x:si>
  <x:si>
    <x:t xml:space="preserve">RCN_PSF</x:t>
  </x:si>
  <x:si>
    <x:t xml:space="preserve">Reproduction cost/SF</x:t>
  </x:si>
  <x:si>
    <x:t xml:space="preserve">MARSHALL_SECTION_REF</x:t>
  </x:si>
  <x:si>
    <x:t xml:space="preserve">MARSHALL_SECTION_DESC</x:t>
  </x:si>
  <x:si>
    <x:t xml:space="preserve">MARSHALL_BASE_COST</x:t>
  </x:si>
  <x:si>
    <x:t xml:space="preserve">MARSHALL_LOCAL_ADJ</x:t>
  </x:si>
  <x:si>
    <x:t xml:space="preserve">MARSHALL_AREA_ADJ</x:t>
  </x:si>
  <x:si>
    <x:t xml:space="preserve">MARSHALL_CURRENT_ADJ</x:t>
  </x:si>
  <x:si>
    <x:t xml:space="preserve">RCN_TOTAL</x:t>
  </x:si>
  <x:si>
    <x:t xml:space="preserve">Total reproduction cost</x:t>
  </x:si>
  <x:si>
    <x:t xml:space="preserve">COMP_NO</x:t>
  </x:si>
  <x:si>
    <x:t xml:space="preserve">COMP_SUBMARKET</x:t>
  </x:si>
  <x:si>
    <x:t xml:space="preserve">COMP_ADDRESS_LINE1</x:t>
  </x:si>
  <x:si>
    <x:t xml:space="preserve">COMP_ADDRESS_LINE2</x:t>
  </x:si>
  <x:si>
    <x:t xml:space="preserve">COMP_PROPERTY_TYPE</x:t>
  </x:si>
  <x:si>
    <x:t xml:space="preserve">COMP_SALE_PRICE</x:t>
  </x:si>
  <x:si>
    <x:t xml:space="preserve">COMP_SALE_DATE</x:t>
  </x:si>
  <x:si>
    <x:t xml:space="preserve">COMP_GBA_SF</x:t>
  </x:si>
  <x:si>
    <x:t xml:space="preserve">COMP_PRICE_SF</x:t>
  </x:si>
  <x:si>
    <x:t xml:space="preserve">COMP_CAP_RATE</x:t>
  </x:si>
  <x:si>
    <x:t xml:space="preserve">COMP_YEAR_BUILT</x:t>
  </x:si>
  <x:si>
    <x:t xml:space="preserve">COMP_SITE_AREA</x:t>
  </x:si>
  <x:si>
    <x:t xml:space="preserve">COMP_STORIES</x:t>
  </x:si>
  <x:si>
    <x:t xml:space="preserve">COMP_CONSTRUCTION</x:t>
  </x:si>
  <x:si>
    <x:t xml:space="preserve">COMP_CONDITION</x:t>
  </x:si>
  <x:si>
    <x:t xml:space="preserve">COMP_ZONING</x:t>
  </x:si>
  <x:si>
    <x:t xml:space="preserve">COMP_TOPOGRAPHY</x:t>
  </x:si>
  <x:si>
    <x:t xml:space="preserve">COMP_SHAPE</x:t>
  </x:si>
  <x:si>
    <x:t xml:space="preserve">COMP_FLOOD_ZONE</x:t>
  </x:si>
  <x:si>
    <x:t xml:space="preserve">COMP_ACCESS</x:t>
  </x:si>
  <x:si>
    <x:t xml:space="preserve">COMP_VISIBILITY</x:t>
  </x:si>
  <x:si>
    <x:t xml:space="preserve">COMP_UTILITIES</x:t>
  </x:si>
  <x:si>
    <x:t xml:space="preserve">COMP_GRANTOR</x:t>
  </x:si>
  <x:si>
    <x:t xml:space="preserve">COMP_GRANTEE</x:t>
  </x:si>
  <x:si>
    <x:t xml:space="preserve">COMP_DEED_REF</x:t>
  </x:si>
  <x:si>
    <x:t xml:space="preserve">COMP_VERIFICATION</x:t>
  </x:si>
  <x:si>
    <x:t xml:space="preserve">COMP_NOI</x:t>
  </x:si>
  <x:si>
    <x:t xml:space="preserve">COMP_NOI_SF</x:t>
  </x:si>
  <x:si>
    <x:t xml:space="preserve">COMP_ANALYSIS</x:t>
  </x:si>
  <x:si>
    <x:t xml:space="preserve">COMP_RELEVANCE</x:t>
  </x:si>
  <x:si>
    <x:t xml:space="preserve">COMP_POPULATION</x:t>
  </x:si>
  <x:si>
    <x:t xml:space="preserve">COMP_HH_INCOME</x:t>
  </x:si>
  <x:si>
    <x:t xml:space="preserve">COMP_LIST_PRICE</x:t>
  </x:si>
  <x:si>
    <x:t xml:space="preserve">COMP_PCT_DISCOUNT</x:t>
  </x:si>
  <x:si>
    <x:t xml:space="preserve">COMP_TIME_ON_MARKET</x:t>
  </x:si>
  <x:si>
    <x:t xml:space="preserve">Sale No. N (e.g. Sale No. 1)</x:t>
  </x:si>
  <x:si>
    <x:t xml:space="preserve">Property type label</x:t>
  </x:si>
  <x:si>
    <x:t xml:space="preserve">Sale price (e.g. $892,000)</x:t>
  </x:si>
  <x:si>
    <x:t xml:space="preserve">Sale date (e.g. 12/26/2025)</x:t>
  </x:si>
  <x:si>
    <x:t xml:space="preserve">GBA with SF (e.g. 9,780 SF)</x:t>
  </x:si>
  <x:si>
    <x:t xml:space="preserve">Price per SF (e.g. $91.26)</x:t>
  </x:si>
  <x:si>
    <x:t xml:space="preserve">Cap rate (e.g. 8.10% or N/A)</x:t>
  </x:si>
  <x:si>
    <x:t xml:space="preserve">Year built (e.g. 1988)</x:t>
  </x:si>
  <x:si>
    <x:t xml:space="preserve">Site area (e.g. ± 110,002 SF)</x:t>
  </x:si>
  <x:si>
    <x:t xml:space="preserve">Stories (e.g. One, Two)</x:t>
  </x:si>
  <x:si>
    <x:t xml:space="preserve">Construction type</x:t>
  </x:si>
  <x:si>
    <x:t xml:space="preserve">Condition (e.g. Average)</x:t>
  </x:si>
  <x:si>
    <x:t xml:space="preserve">Zoning (e.g. Office/Commercial)</x:t>
  </x:si>
  <x:si>
    <x:t xml:space="preserve">Topography (e.g. Level)</x:t>
  </x:si>
  <x:si>
    <x:t xml:space="preserve">Shape (e.g. Irregular)</x:t>
  </x:si>
  <x:si>
    <x:t xml:space="preserve">Flood zone (e.g. Zone X)</x:t>
  </x:si>
  <x:si>
    <x:t xml:space="preserve">Access (e.g. Average)</x:t>
  </x:si>
  <x:si>
    <x:t xml:space="preserve">Visibility (e.g. Average)</x:t>
  </x:si>
  <x:si>
    <x:t xml:space="preserve">Utilities (e.g. All Public)</x:t>
  </x:si>
  <x:si>
    <x:t xml:space="preserve">Grantor name</x:t>
  </x:si>
  <x:si>
    <x:t xml:space="preserve">Grantee name</x:t>
  </x:si>
  <x:si>
    <x:t xml:space="preserve">Deed reference number</x:t>
  </x:si>
  <x:si>
    <x:t xml:space="preserve">Verification source</x:t>
  </x:si>
  <x:si>
    <x:t xml:space="preserve">NOI (e.g. $72,293 or Not Available)</x:t>
  </x:si>
  <x:si>
    <x:t xml:space="preserve">NOI per SF (e.g. $7.39 or Not Available)</x:t>
  </x:si>
  <x:si>
    <x:t xml:space="preserve">Main analysis paragraph</x:t>
  </x:si>
  <x:si>
    <x:t xml:space="preserve">Relevance sentence</x:t>
  </x:si>
  <x:si>
    <x:t xml:space="preserve">Population (e.g. 132,176)</x:t>
  </x:si>
  <x:si>
    <x:t xml:space="preserve">Median HH income (e.g. $94,659)</x:t>
  </x:si>
  <x:si>
    <x:t xml:space="preserve">List price (e.g. $1,000,000)</x:t>
  </x:si>
  <x:si>
    <x:t xml:space="preserve">% discount from list (e.g. 11%)</x:t>
  </x:si>
  <x:si>
    <x:t xml:space="preserve">Time on market (e.g. 52 days)</x:t>
  </x:si>
  <x:si>
    <x:t xml:space="preserve">Dilmore Size Adjustment Table  —  Size Factor (A_c / A_s)</x:t>
  </x:si>
  <x:si>
    <x:t xml:space="preserve">A_c = Comparable GBA  |  A_s = Subject GBA  |  Factor = 1.00 means no size adjustment</x:t>
  </x:si>
  <x:si>
    <x:t xml:space="preserve">A_c / A_s</x:t>
  </x:si>
  <x:si>
    <x:t xml:space="preserve">80% Curve</x:t>
  </x:si>
  <x:si>
    <x:t xml:space="preserve">82.5% Curve</x:t>
  </x:si>
  <x:si>
    <x:t xml:space="preserve">85% Curve</x:t>
  </x:si>
  <x:si>
    <x:t xml:space="preserve">87.5% Curve</x:t>
  </x:si>
  <x:si>
    <x:t xml:space="preserve">90% Curve</x:t>
  </x:si>
  <x:si>
    <x:t xml:space="preserve">Adj % (85%)</x:t>
  </x:si>
  <x:si>
    <x:t xml:space="preserve">-66.0%</x:t>
  </x:si>
  <x:si>
    <x:t xml:space="preserve">-60.0%</x:t>
  </x:si>
  <x:si>
    <x:t xml:space="preserve">-56.0%</x:t>
  </x:si>
  <x:si>
    <x:t xml:space="preserve">-53.0%</x:t>
  </x:si>
  <x:si>
    <x:t xml:space="preserve">-51.0%</x:t>
  </x:si>
  <x:si>
    <x:t xml:space="preserve">-48.0%</x:t>
  </x:si>
  <x:si>
    <x:t xml:space="preserve">-46.0%</x:t>
  </x:si>
  <x:si>
    <x:t xml:space="preserve">-45.0%</x:t>
  </x:si>
  <x:si>
    <x:t xml:space="preserve">-43.0%</x:t>
  </x:si>
  <x:si>
    <x:t xml:space="preserve">-42.0%</x:t>
  </x:si>
  <x:si>
    <x:t xml:space="preserve">-40.0%</x:t>
  </x:si>
  <x:si>
    <x:t xml:space="preserve">-39.0%</x:t>
  </x:si>
  <x:si>
    <x:t xml:space="preserve">-38.0%</x:t>
  </x:si>
  <x:si>
    <x:t xml:space="preserve">-37.0%</x:t>
  </x:si>
  <x:si>
    <x:t xml:space="preserve">-36.0%</x:t>
  </x:si>
  <x:si>
    <x:t xml:space="preserve">-35.0%</x:t>
  </x:si>
  <x:si>
    <x:t xml:space="preserve">-34.0%</x:t>
  </x:si>
  <x:si>
    <x:t xml:space="preserve">-33.0%</x:t>
  </x:si>
  <x:si>
    <x:t xml:space="preserve">-32.0%</x:t>
  </x:si>
  <x:si>
    <x:t xml:space="preserve">-31.0%</x:t>
  </x:si>
  <x:si>
    <x:t xml:space="preserve">-28.0%</x:t>
  </x:si>
  <x:si>
    <x:t xml:space="preserve">-25.0%</x:t>
  </x:si>
  <x:si>
    <x:t xml:space="preserve">-22.0%</x:t>
  </x:si>
  <x:si>
    <x:t xml:space="preserve">-19.0%</x:t>
  </x:si>
  <x:si>
    <x:t xml:space="preserve">-17.0%</x:t>
  </x:si>
  <x:si>
    <x:t xml:space="preserve">-15.0%</x:t>
  </x:si>
  <x:si>
    <x:t xml:space="preserve">-13.0%</x:t>
  </x:si>
  <x:si>
    <x:t xml:space="preserve">-11.0%</x:t>
  </x:si>
  <x:si>
    <x:t xml:space="preserve">-10.0%</x:t>
  </x:si>
  <x:si>
    <x:t xml:space="preserve">-8.0%</x:t>
  </x:si>
  <x:si>
    <x:t xml:space="preserve">-7.0%</x:t>
  </x:si>
  <x:si>
    <x:t xml:space="preserve">-5.0%</x:t>
  </x:si>
  <x:si>
    <x:t xml:space="preserve">-4.0%</x:t>
  </x:si>
  <x:si>
    <x:t xml:space="preserve">-2.0%</x:t>
  </x:si>
  <x:si>
    <x:t xml:space="preserve">-1.0%</x:t>
  </x:si>
  <x:si>
    <x:t xml:space="preserve">+0.0%</x:t>
  </x:si>
  <x:si>
    <x:t xml:space="preserve">+2.0%</x:t>
  </x:si>
  <x:si>
    <x:t xml:space="preserve">+4.0%</x:t>
  </x:si>
  <x:si>
    <x:t xml:space="preserve">+6.0%</x:t>
  </x:si>
  <x:si>
    <x:t xml:space="preserve">+8.0%</x:t>
  </x:si>
  <x:si>
    <x:t xml:space="preserve">+10.0%</x:t>
  </x:si>
  <x:si>
    <x:t xml:space="preserve">+12.0%</x:t>
  </x:si>
  <x:si>
    <x:t xml:space="preserve">+13.0%</x:t>
  </x:si>
  <x:si>
    <x:t xml:space="preserve">+15.0%</x:t>
  </x:si>
  <x:si>
    <x:t xml:space="preserve">+16.0%</x:t>
  </x:si>
  <x:si>
    <x:t xml:space="preserve">+18.0%</x:t>
  </x:si>
  <x:si>
    <x:t xml:space="preserve">+19.0%</x:t>
  </x:si>
  <x:si>
    <x:t xml:space="preserve">+20.0%</x:t>
  </x:si>
  <x:si>
    <x:t xml:space="preserve">+22.0%</x:t>
  </x:si>
  <x:si>
    <x:t xml:space="preserve">+23.0%</x:t>
  </x:si>
  <x:si>
    <x:t xml:space="preserve">+24.0%</x:t>
  </x:si>
  <x:si>
    <x:t xml:space="preserve">+25.0%</x:t>
  </x:si>
  <x:si>
    <x:t xml:space="preserve">+26.0%</x:t>
  </x:si>
  <x:si>
    <x:t xml:space="preserve">+27.0%</x:t>
  </x:si>
  <x:si>
    <x:t xml:space="preserve">+28.0%</x:t>
  </x:si>
  <x:si>
    <x:t xml:space="preserve">+29.0%</x:t>
  </x:si>
  <x:si>
    <x:t xml:space="preserve">+30.0%</x:t>
  </x:si>
  <x:si>
    <x:t xml:space="preserve">+31.0%</x:t>
  </x:si>
  <x:si>
    <x:t xml:space="preserve">+32.0%</x:t>
  </x:si>
  <x:si>
    <x:t xml:space="preserve">+33.0%</x:t>
  </x:si>
  <x:si>
    <x:t xml:space="preserve">+34.0%</x:t>
  </x:si>
  <x:si>
    <x:t xml:space="preserve">+35.0%</x:t>
  </x:si>
  <x:si>
    <x:t xml:space="preserve">+36.0%</x:t>
  </x:si>
  <x:si>
    <x:t xml:space="preserve">+37.0%</x:t>
  </x:si>
  <x:si>
    <x:t xml:space="preserve">+38.0%</x:t>
  </x:si>
  <x:si>
    <x:t xml:space="preserve">+39.0%</x:t>
  </x:si>
  <x:si>
    <x:t xml:space="preserve">+40.0%</x:t>
  </x:si>
  <x:si>
    <x:t xml:space="preserve">+41.0%</x:t>
  </x:si>
  <x:si>
    <x:t xml:space="preserve">+42.0%</x:t>
  </x:si>
  <x:si>
    <x:t xml:space="preserve">+43.0%</x:t>
  </x:si>
  <x:si>
    <x:t xml:space="preserve">+44.0%</x:t>
  </x:si>
  <x:si>
    <x:t xml:space="preserve">+45.0%</x:t>
  </x:si>
  <x:si>
    <x:t xml:space="preserve">+46.0%</x:t>
  </x:si>
  <x:si>
    <x:t xml:space="preserve">+49.0%</x:t>
  </x:si>
  <x:si>
    <x:t xml:space="preserve">+52.0%</x:t>
  </x:si>
  <x:si>
    <x:t xml:space="preserve">+55.0%</x:t>
  </x:si>
  <x:si>
    <x:t xml:space="preserve">+58.0%</x:t>
  </x:si>
  <x:si>
    <x:t xml:space="preserve">+61.0%</x:t>
  </x:si>
  <x:si>
    <x:t xml:space="preserve">+63.0%</x:t>
  </x:si>
  <x:si>
    <x:t xml:space="preserve">+65.0%</x:t>
  </x:si>
  <x:si>
    <x:t xml:space="preserve">+68.0%</x:t>
  </x:si>
  <x:si>
    <x:t xml:space="preserve">+70.0%</x:t>
  </x:si>
  <x:si>
    <x:t xml:space="preserve">+72.0%</x:t>
  </x:si>
  <x:si>
    <x:t xml:space="preserve">+76.0%</x:t>
  </x:si>
  <x:si>
    <x:t xml:space="preserve">+79.0%</x:t>
  </x:si>
  <x:si>
    <x:t xml:space="preserve">+83.0%</x:t>
  </x:si>
  <x:si>
    <x:t xml:space="preserve">+86.0%</x:t>
  </x:si>
  <x:si>
    <x:t xml:space="preserve">+89.0%</x:t>
  </x:si>
  <x:si>
    <x:t xml:space="preserve">+92.0%</x:t>
  </x:si>
  <x:si>
    <x:t xml:space="preserve">+95.0%</x:t>
  </x:si>
  <x:si>
    <x:t xml:space="preserve">+97.0%</x:t>
  </x:si>
  <x:si>
    <x:t xml:space="preserve">+100.0%</x:t>
  </x:si>
  <x:si>
    <x:t xml:space="preserve">+102.0%</x:t>
  </x:si>
  <x:si>
    <x:t xml:space="preserve">+113.0%</x:t>
  </x:si>
  <x:si>
    <x:t xml:space="preserve">+122.0%</x:t>
  </x:si>
  <x:si>
    <x:t xml:space="preserve">+131.0%</x:t>
  </x:si>
  <x:si>
    <x:t xml:space="preserve">+138.0%</x:t>
  </x:si>
  <x:si>
    <x:t xml:space="preserve">+145.0%</x:t>
  </x:si>
  <x:si>
    <x:t xml:space="preserve">+151.0%</x:t>
  </x:si>
  <x:si>
    <x:t xml:space="preserve">+156.0%</x:t>
  </x:si>
  <x:si>
    <x:t xml:space="preserve">+162.0%</x:t>
  </x:si>
  <x:si>
    <x:t xml:space="preserve">+167.0%</x:t>
  </x:si>
  <x:si>
    <x:t xml:space="preserve">+171.0%</x:t>
  </x:si>
  <x:si>
    <x:t xml:space="preserve">+176.0%</x:t>
  </x:si>
  <x:si>
    <x:t xml:space="preserve">+180.0%</x:t>
  </x:si>
  <x:si>
    <x:t xml:space="preserve">+184.0%</x:t>
  </x:si>
  <x:si>
    <x:t xml:space="preserve">+188.0%</x:t>
  </x:si>
  <x:si>
    <x:t xml:space="preserve">+192.0%</x:t>
  </x:si>
  <x:si>
    <x:t xml:space="preserve">+195.0%</x:t>
  </x:si>
</x:sst>
</file>

<file path=xl/styles.xml><?xml version="1.0" encoding="utf-8"?>
<x:styleSheet xmlns:x="http://schemas.openxmlformats.org/spreadsheetml/2006/main">
  <x:numFmts count="12">
    <x:numFmt numFmtId="164" formatCode="mmm\ yyyy"/>
    <x:numFmt numFmtId="165" formatCode="\$#,##0"/>
    <x:numFmt numFmtId="166" formatCode="\$#,##0.00"/>
    <x:numFmt numFmtId="167" formatCode="0.0%;\(0.0%\);\-"/>
    <x:numFmt numFmtId="168" formatCode="0.0%"/>
    <x:numFmt numFmtId="169" formatCode="0.0000"/>
    <x:numFmt numFmtId="170" formatCode="mm/dd/yyyy"/>
    <x:numFmt numFmtId="171" formatCode="0.000"/>
    <x:numFmt numFmtId="172" formatCode="\+0.0%;\-0.0%;0.0%"/>
    <x:numFmt numFmtId="173" formatCode="General_)"/>
    <x:numFmt numFmtId="174" formatCode="_(* #,##0.00_);_(* \(#,##0.00\);_(* \-??_);_(@_)"/>
    <x:numFmt numFmtId="175" formatCode="_(\$* #,##0.00_);_(\$* \(#,##0.00\);_(\$* \-??_);_(@_)"/>
  </x:numFmts>
  <x:fonts count="40">
    <x:font>
      <x:sz val="10"/>
      <x:name val="Arial"/>
    </x:font>
    <x:font>
      <x:b/>
      <x:sz val="9"/>
      <x:color rgb="000000"/>
      <x:name val="Arial MT"/>
    </x:font>
    <x:font>
      <x:sz val="10"/>
      <x:name val="Arial"/>
    </x:font>
    <x:font>
      <x:b/>
      <x:sz val="10"/>
      <x:color rgb="FFFFFF"/>
      <x:name val="Cambria"/>
    </x:font>
    <x:font>
      <x:b/>
      <x:sz val="9"/>
      <x:name val="Cambria"/>
    </x:font>
    <x:font>
      <x:sz val="9"/>
      <x:color rgb="000000"/>
      <x:name val="Cambria"/>
    </x:font>
    <x:font>
      <x:sz val="10"/>
      <x:name val="Europa-Regular"/>
    </x:font>
    <x:font>
      <x:b/>
      <x:i/>
      <x:sz val="9"/>
      <x:name val="Cambria"/>
    </x:font>
    <x:font>
      <x:sz val="9"/>
      <x:color rgb="444444"/>
      <x:name val="Cambria"/>
    </x:font>
    <x:font>
      <x:i/>
      <x:sz val="8"/>
      <x:color rgb="888888"/>
      <x:name val="Cambria"/>
    </x:font>
    <x:font>
      <x:i/>
      <x:sz val="8"/>
      <x:color rgb="666666"/>
      <x:name val="Cambria"/>
    </x:font>
    <x:font>
      <x:b/>
      <x:sz val="10"/>
      <x:color rgb="FFFFFF"/>
      <x:name val="Cambria"/>
    </x:font>
    <x:font>
      <x:b/>
      <x:sz val="9"/>
      <x:color rgb="000000"/>
      <x:name val="Cambria"/>
    </x:font>
    <x:font>
      <x:i/>
      <x:sz val="8"/>
      <x:color rgb="666666"/>
      <x:name val="Cambria"/>
    </x:font>
    <x:font>
      <x:sz val="9"/>
      <x:color rgb="000000"/>
      <x:name val="Cambria"/>
    </x:font>
    <x:font>
      <x:b/>
      <x:sz val="9"/>
      <x:color rgb="0000FF"/>
      <x:name val="Cambria"/>
    </x:font>
    <x:font>
      <x:b/>
      <x:sz val="9"/>
      <x:color rgb="3F2A66"/>
      <x:name val="Calibri"/>
    </x:font>
    <x:font>
      <x:sz val="10"/>
      <x:color rgb="111111"/>
      <x:name val="Calibri"/>
    </x:font>
    <x:font>
      <x:i/>
      <x:sz val="8"/>
      <x:color rgb="888888"/>
      <x:name val="Calibri"/>
    </x:font>
    <x:font>
      <x:sz val="10"/>
      <x:color rgb="3F2A66"/>
      <x:name val="Calibri"/>
    </x:font>
    <x:font>
      <x:sz val="10"/>
      <x:name val="Arial"/>
    </x:font>
    <x:font>
      <x:b/>
      <x:sz val="11"/>
      <x:color rgb="FFFFFF"/>
      <x:name val="Calibri"/>
    </x:font>
    <x:font>
      <x:b/>
      <x:sz val="11"/>
      <x:color rgb="3F2A66"/>
      <x:name val="Calibri"/>
    </x:font>
    <x:font>
      <x:i/>
      <x:sz val="10"/>
      <x:color rgb="3F2A66"/>
      <x:name val="Calibri"/>
    </x:font>
    <x:font>
      <x:sz val="11"/>
      <x:color rgb="000000"/>
      <x:name val="Calibri"/>
    </x:font>
    <x:font>
      <x:i/>
      <x:sz val="10"/>
      <x:color rgb="777777"/>
      <x:name val="Calibri"/>
    </x:font>
    <x:font>
      <x:i/>
      <x:sz val="11"/>
      <x:color rgb="3F2A66"/>
      <x:name val="Calibri"/>
    </x:font>
    <x:font>
      <x:i/>
      <x:sz val="10"/>
      <x:color rgb="4CAF50"/>
      <x:name val="Calibri"/>
    </x:font>
    <x:font>
      <x:sz val="11"/>
      <x:color rgb="3F2A66"/>
      <x:name val="Calibri"/>
    </x:font>
    <x:font>
      <x:sz val="11"/>
      <x:color rgb="2E7D32"/>
      <x:name val="Calibri"/>
    </x:font>
    <x:font>
      <x:sz val="11"/>
      <x:color rgb="C62828"/>
      <x:name val="Calibri"/>
    </x:font>
    <x:font>
      <x:b/>
      <x:sz val="12"/>
      <x:color rgb="FFFFFF"/>
      <x:name val="Calibri"/>
    </x:font>
    <x:font>
      <x:b/>
      <x:sz val="11"/>
      <x:color rgb="000000"/>
      <x:name val="Calibri"/>
    </x:font>
    <x:font>
      <x:b/>
      <x:sz val="9"/>
      <x:color rgb="FFFFFF"/>
      <x:name val="Calibri"/>
    </x:font>
    <x:font>
      <x:i/>
      <x:sz val="9"/>
      <x:color rgb="3F2A66"/>
      <x:name val="Calibri"/>
    </x:font>
    <x:font>
      <x:b/>
      <x:sz val="10"/>
      <x:color rgb="000000"/>
      <x:name val="Calibri"/>
    </x:font>
    <x:font>
      <x:sz val="10"/>
      <x:color rgb="000000"/>
      <x:name val="Calibri"/>
    </x:font>
    <x:font>
      <x:b/>
      <x:sz val="9"/>
      <x:name val="Cambria"/>
    </x:font>
    <x:font>
      <x:b/>
      <x:sz val="9"/>
      <x:name val="Cambria"/>
    </x:font>
    <x:font>
      <x:sz val="11"/>
      <x:color rgb="000000"/>
      <x:name val="Calibri"/>
    </x:font>
  </x:fonts>
  <x:fills count="18">
    <x:fill>
      <x:patternFill patternType="none"/>
    </x:fill>
    <x:fill>
      <x:patternFill patternType="gray125"/>
    </x:fill>
    <x:fill>
      <x:patternFill patternType="solid">
        <x:fgColor rgb="3F2A66"/>
      </x:patternFill>
    </x:fill>
    <x:fill>
      <x:patternFill patternType="solid">
        <x:fgColor rgb="D5CCEB"/>
      </x:patternFill>
    </x:fill>
    <x:fill>
      <x:patternFill patternType="solid">
        <x:fgColor rgb="EAE6F2"/>
      </x:patternFill>
    </x:fill>
    <x:fill>
      <x:patternFill patternType="solid">
        <x:fgColor rgb="FFFF00"/>
      </x:patternFill>
    </x:fill>
    <x:fill>
      <x:patternFill patternType="solid">
        <x:fgColor rgb="3F2A66"/>
      </x:patternFill>
    </x:fill>
    <x:fill>
      <x:patternFill patternType="solid">
        <x:fgColor rgb="D5CCEB"/>
      </x:patternFill>
    </x:fill>
    <x:fill>
      <x:patternFill patternType="solid">
        <x:fgColor rgb="F8F7FC"/>
      </x:patternFill>
    </x:fill>
    <x:fill>
      <x:patternFill patternType="solid">
        <x:fgColor rgb="E8F5E9"/>
      </x:patternFill>
    </x:fill>
    <x:fill>
      <x:patternFill patternType="solid">
        <x:fgColor rgb="F2F2F2"/>
      </x:patternFill>
    </x:fill>
    <x:fill>
      <x:patternFill patternType="solid">
        <x:fgColor rgb="3F2A66"/>
      </x:patternFill>
    </x:fill>
    <x:fill>
      <x:patternFill patternType="solid">
        <x:fgColor rgb="D5CCEB"/>
      </x:patternFill>
    </x:fill>
    <x:fill>
      <x:patternFill patternType="solid">
        <x:fgColor rgb="EDE9F7"/>
      </x:patternFill>
    </x:fill>
    <x:fill>
      <x:patternFill patternType="solid">
        <x:fgColor rgb="FFFFFF"/>
      </x:patternFill>
    </x:fill>
    <x:fill>
      <x:patternFill patternType="solid">
        <x:fgColor rgb="E8F5E9"/>
      </x:patternFill>
    </x:fill>
    <x:fill>
      <x:patternFill patternType="solid">
        <x:fgColor rgb="F5F5F5"/>
      </x:patternFill>
    </x:fill>
    <x:fill>
      <x:patternFill patternType="solid">
        <x:fgColor rgb="FDECEA"/>
      </x:patternFill>
    </x:fill>
  </x:fills>
  <x:borders count="8">
    <x:border/>
    <x:border>
      <x:left style="thick">
        <x:color rgb="0000FF"/>
      </x:left>
      <x:top style="thick">
        <x:color rgb="0000FF"/>
      </x:top>
    </x:border>
    <x:border>
      <x:left style="thin">
        <x:color rgb="CCCCCC"/>
      </x:left>
      <x:right style="thin">
        <x:color rgb="CCCCCC"/>
      </x:right>
      <x:top style="thin">
        <x:color rgb="CCCCCC"/>
      </x:top>
      <x:bottom style="thin">
        <x:color rgb="CCCCCC"/>
      </x:bottom>
    </x:border>
    <x:border>
      <x:bottom style="thin">
        <x:color rgb="CCCCCC"/>
      </x:bottom>
    </x:border>
    <x:border>
      <x:bottom style="thin">
        <x:color rgb="CCCCCC"/>
      </x:bottom>
    </x:border>
    <x:border>
      <x:left style="thin">
        <x:color rgb="CCCCCC"/>
      </x:left>
      <x:right style="thin">
        <x:color rgb="CCCCCC"/>
      </x:right>
      <x:top style="thin">
        <x:color rgb="CCCCCC"/>
      </x:top>
      <x:bottom style="thin">
        <x:color rgb="CCCCCC"/>
      </x:bottom>
    </x:border>
    <x:border>
      <x:top style="thin">
        <x:color rgb="CCCCCC"/>
      </x:top>
      <x:bottom style="thin">
        <x:color rgb="CCCCCC"/>
      </x:bottom>
    </x:border>
    <x:border>
      <x:right style="thin">
        <x:color rgb="CCCCCC"/>
      </x:right>
      <x:top style="thin">
        <x:color rgb="CCCCCC"/>
      </x:top>
      <x:bottom style="thin">
        <x:color rgb="CCCCCC"/>
      </x:bottom>
    </x:border>
  </x:borders>
  <x:cellStyleXfs count="11">
    <x:xf numFmtId="0" fontId="0" fillId="0" borderId="0"/>
    <x:xf numFmtId="173" fontId="1" fillId="0" borderId="1"/>
    <x:xf numFmtId="174" fontId="2" fillId="0" borderId="0"/>
    <x:xf numFmtId="174" fontId="2" fillId="0" borderId="0"/>
    <x:xf numFmtId="174" fontId="2" fillId="0" borderId="0"/>
    <x:xf numFmtId="175" fontId="2" fillId="0" borderId="0"/>
    <x:xf numFmtId="0" fontId="2" fillId="0" borderId="0"/>
    <x:xf numFmtId="0" fontId="2" fillId="0" borderId="0"/>
    <x:xf numFmtId="0" fontId="2" fillId="0" borderId="0"/>
    <x:xf numFmtId="9" fontId="2" fillId="0" borderId="0"/>
    <x:xf numFmtId="9" fontId="2" fillId="0" borderId="0"/>
  </x:cellStyleXfs>
  <x:cellXfs count="175">
    <x:xf numFmtId="0" fontId="0" fillId="0" borderId="0" xfId="0"/>
    <x:xf numFmtId="0" fontId="3" fillId="2" borderId="0" xfId="0" applyFont="1" applyFill="1" applyAlignment="1">
      <x:alignment vertical="center"/>
    </x:xf>
    <x:xf numFmtId="0" fontId="4" fillId="3" borderId="0" xfId="0" applyFont="1" applyFill="1" applyAlignment="1">
      <x:alignment horizontal="center" vertical="center"/>
    </x:xf>
    <x:xf numFmtId="0" fontId="4" fillId="3" borderId="0" xfId="0" applyFont="1" applyFill="1" applyAlignment="1">
      <x:alignment horizontal="center" vertical="center" wrapText="1"/>
    </x:xf>
    <x:xf numFmtId="166" fontId="5" fillId="0" borderId="0" xfId="0" applyNumberFormat="1" applyFont="1"/>
    <x:xf numFmtId="0" fontId="5" fillId="0" borderId="0" xfId="0" applyFont="1"/>
    <x:xf numFmtId="3" fontId="5" fillId="0" borderId="0" xfId="0" applyNumberFormat="1" applyFont="1"/>
    <x:xf numFmtId="167" fontId="5" fillId="0" borderId="0" xfId="0" applyNumberFormat="1" applyFont="1"/>
    <x:xf numFmtId="165" fontId="5" fillId="0" borderId="0" xfId="0" applyNumberFormat="1" applyFont="1"/>
    <x:xf numFmtId="0" fontId="6" fillId="0" borderId="0" xfId="0" applyFont="1"/>
    <x:xf numFmtId="0" fontId="7" fillId="4" borderId="0" xfId="0" applyFont="1" applyFill="1"/>
    <x:xf numFmtId="0" fontId="8" fillId="0" borderId="0" xfId="0" applyFont="1"/>
    <x:xf numFmtId="0" fontId="9" fillId="0" borderId="0" xfId="0" applyFont="1"/>
    <x:xf numFmtId="168" fontId="5" fillId="0" borderId="0" xfId="0" applyNumberFormat="1" applyFont="1"/>
    <x:xf numFmtId="0" fontId="10" fillId="0" borderId="0" xfId="0" applyFont="1"/>
    <x:xf numFmtId="164" fontId="5" fillId="0" borderId="0" xfId="0" applyNumberFormat="1" applyFont="1"/>
    <x:xf numFmtId="0" fontId="11" fillId="6" borderId="0" xfId="0" applyFont="1" applyFill="1"/>
    <x:xf numFmtId="0" fontId="0" fillId="6" borderId="0" xfId="0" applyFill="1"/>
    <x:xf numFmtId="0" fontId="12" fillId="7" borderId="0" xfId="0" applyFont="1" applyFill="1" applyAlignment="1">
      <x:alignment horizontal="center" vertical="center" wrapText="1"/>
    </x:xf>
    <x:xf numFmtId="0" fontId="13" fillId="0" borderId="0" xfId="0" applyFont="1"/>
    <x:xf numFmtId="0" fontId="14" fillId="0" borderId="0" xfId="0" applyFont="1"/>
    <x:xf numFmtId="0" fontId="14" fillId="0" borderId="0" xfId="0" applyFont="1" applyAlignment="1">
      <x:alignment horizontal="left" vertical="center"/>
    </x:xf>
    <x:xf numFmtId="0" fontId="14" fillId="0" borderId="0" xfId="0" applyFont="1" applyAlignment="1">
      <x:alignment horizontal="center" vertical="center"/>
    </x:xf>
    <x:xf numFmtId="0" fontId="15" fillId="0" borderId="0" xfId="0" applyFont="1" applyAlignment="1">
      <x:alignment horizontal="left" vertical="center"/>
    </x:xf>
    <x:xf numFmtId="165" fontId="14" fillId="0" borderId="0" xfId="0" applyNumberFormat="1" applyFont="1" applyAlignment="1">
      <x:alignment horizontal="center" vertical="center"/>
    </x:xf>
    <x:xf numFmtId="10" fontId="14" fillId="5" borderId="0" xfId="0" applyNumberFormat="1" applyFont="1" applyFill="1" applyAlignment="1">
      <x:alignment horizontal="center" vertical="center"/>
    </x:xf>
    <x:xf numFmtId="168" fontId="14" fillId="0" borderId="0" xfId="0" applyNumberFormat="1" applyFont="1" applyAlignment="1">
      <x:alignment horizontal="center" vertical="center"/>
    </x:xf>
    <x:xf numFmtId="10" fontId="14" fillId="0" borderId="0" xfId="0" applyNumberFormat="1" applyFont="1" applyAlignment="1">
      <x:alignment horizontal="center" vertical="center"/>
    </x:xf>
    <x:xf numFmtId="0" fontId="14" fillId="0" borderId="0" xfId="0" applyFont="1" applyAlignment="1">
      <x:alignment horizontal="center"/>
    </x:xf>
    <x:xf numFmtId="0" fontId="15" fillId="0" borderId="0" xfId="0" applyFont="1" applyAlignment="1">
      <x:alignment horizontal="left"/>
    </x:xf>
    <x:xf numFmtId="166" fontId="14" fillId="0" borderId="0" xfId="0" applyNumberFormat="1" applyFont="1" applyAlignment="1">
      <x:alignment horizontal="center"/>
    </x:xf>
    <x:xf numFmtId="165" fontId="14" fillId="0" borderId="0" xfId="0" applyNumberFormat="1" applyFont="1"/>
    <x:xf numFmtId="166" fontId="14" fillId="0" borderId="0" xfId="0" applyNumberFormat="1" applyFont="1"/>
    <x:xf numFmtId="0" fontId="16" fillId="8" borderId="3" xfId="0" applyFont="1" applyFill="1" applyBorder="1" applyAlignment="1">
      <x:alignment horizontal="left" vertical="center"/>
    </x:xf>
    <x:xf numFmtId="0" fontId="17" fillId="9" borderId="2" xfId="0" applyFont="1" applyFill="1" applyBorder="1" applyAlignment="1">
      <x:alignment horizontal="left" vertical="center"/>
    </x:xf>
    <x:xf numFmtId="0" fontId="18" fillId="10" borderId="3" xfId="0" applyFont="1" applyFill="1" applyBorder="1" applyAlignment="1">
      <x:alignment horizontal="left" vertical="center"/>
    </x:xf>
    <x:xf numFmtId="0" fontId="19" fillId="0" borderId="3" xfId="0" applyFont="1" applyBorder="1" applyAlignment="1">
      <x:alignment horizontal="center" vertical="center"/>
    </x:xf>
    <x:xf numFmtId="0" fontId="20" fillId="0" borderId="0" xfId="0" applyFont="1"/>
    <x:xf numFmtId="0" fontId="21" fillId="11" borderId="5" xfId="0" applyFont="1" applyFill="1" applyBorder="1" applyAlignment="1">
      <x:alignment horizontal="left" vertical="center"/>
    </x:xf>
    <x:xf numFmtId="0" fontId="22" fillId="12" borderId="5" xfId="0" applyFont="1" applyFill="1" applyBorder="1" applyAlignment="1">
      <x:alignment horizontal="center" vertical="center" wrapText="1"/>
    </x:xf>
    <x:xf numFmtId="0" fontId="24" fillId="14" borderId="5" xfId="0" applyFont="1" applyFill="1" applyBorder="1" applyAlignment="1">
      <x:alignment horizontal="left" vertical="center"/>
    </x:xf>
    <x:xf numFmtId="0" fontId="24" fillId="15" borderId="5" xfId="0" applyFont="1" applyFill="1" applyBorder="1" applyAlignment="1">
      <x:alignment horizontal="left" vertical="center"/>
    </x:xf>
    <x:xf numFmtId="0" fontId="25" fillId="14" borderId="5" xfId="0" applyFont="1" applyFill="1" applyBorder="1" applyAlignment="1">
      <x:alignment horizontal="left" vertical="center" wrapText="1"/>
    </x:xf>
    <x:xf numFmtId="0" fontId="24" fillId="14" borderId="5" xfId="0" applyFont="1" applyFill="1" applyBorder="1" applyAlignment="1">
      <x:alignment horizontal="center" vertical="center"/>
    </x:xf>
    <x:xf numFmtId="0" fontId="24" fillId="16" borderId="5" xfId="0" applyFont="1" applyFill="1" applyBorder="1" applyAlignment="1">
      <x:alignment horizontal="left" vertical="center"/>
    </x:xf>
    <x:xf numFmtId="0" fontId="25" fillId="16" borderId="5" xfId="0" applyFont="1" applyFill="1" applyBorder="1" applyAlignment="1">
      <x:alignment horizontal="left" vertical="center" wrapText="1"/>
    </x:xf>
    <x:xf numFmtId="0" fontId="24" fillId="16" borderId="5" xfId="0" applyFont="1" applyFill="1" applyBorder="1" applyAlignment="1">
      <x:alignment horizontal="center" vertical="center"/>
    </x:xf>
    <x:xf numFmtId="0" fontId="16" fillId="8" borderId="4" xfId="0" applyFont="1" applyFill="1" applyBorder="1" applyAlignment="1">
      <x:alignment horizontal="left" vertical="center"/>
    </x:xf>
    <x:xf numFmtId="0" fontId="31" fillId="11" borderId="5" xfId="0" applyFont="1" applyFill="1" applyBorder="1" applyAlignment="1">
      <x:alignment horizontal="center" vertical="center"/>
    </x:xf>
    <x:xf numFmtId="0" fontId="22" fillId="13" borderId="5" xfId="0" applyFont="1" applyFill="1" applyBorder="1" applyAlignment="1">
      <x:alignment horizontal="left" vertical="center"/>
    </x:xf>
    <x:xf numFmtId="0" fontId="24" fillId="15" borderId="5" xfId="0" applyFont="1" applyFill="1" applyBorder="1" applyAlignment="1">
      <x:alignment horizontal="center" vertical="center"/>
    </x:xf>
    <x:xf numFmtId="0" fontId="23" fillId="13" borderId="5" xfId="0" applyFont="1" applyFill="1" applyBorder="1" applyAlignment="1">
      <x:alignment horizontal="left" vertical="center"/>
    </x:xf>
    <x:xf numFmtId="0" fontId="28" fillId="13" borderId="5" xfId="0" applyFont="1" applyFill="1" applyBorder="1" applyAlignment="1">
      <x:alignment horizontal="center" vertical="center"/>
    </x:xf>
    <x:xf numFmtId="171" fontId="24" fillId="14" borderId="5" xfId="0" applyNumberFormat="1" applyFont="1" applyFill="1" applyBorder="1" applyAlignment="1">
      <x:alignment horizontal="center" vertical="center"/>
    </x:xf>
    <x:xf numFmtId="169" fontId="24" fillId="14" borderId="5" xfId="0" applyNumberFormat="1" applyFont="1" applyFill="1" applyBorder="1" applyAlignment="1">
      <x:alignment horizontal="center" vertical="center"/>
    </x:xf>
    <x:xf numFmtId="172" fontId="24" fillId="14" borderId="5" xfId="0" applyNumberFormat="1" applyFont="1" applyFill="1" applyBorder="1" applyAlignment="1">
      <x:alignment horizontal="center" vertical="center"/>
    </x:xf>
    <x:xf numFmtId="171" fontId="24" fillId="16" borderId="5" xfId="0" applyNumberFormat="1" applyFont="1" applyFill="1" applyBorder="1" applyAlignment="1">
      <x:alignment horizontal="center" vertical="center"/>
    </x:xf>
    <x:xf numFmtId="169" fontId="24" fillId="16" borderId="5" xfId="0" applyNumberFormat="1" applyFont="1" applyFill="1" applyBorder="1" applyAlignment="1">
      <x:alignment horizontal="center" vertical="center"/>
    </x:xf>
    <x:xf numFmtId="172" fontId="24" fillId="16" borderId="5" xfId="0" applyNumberFormat="1" applyFont="1" applyFill="1" applyBorder="1" applyAlignment="1">
      <x:alignment horizontal="center" vertical="center"/>
    </x:xf>
    <x:xf numFmtId="0" fontId="24" fillId="14" borderId="5" xfId="0" applyFont="1" applyFill="1" applyBorder="1" applyAlignment="1">
      <x:alignment horizontal="left" vertical="center" wrapText="1"/>
    </x:xf>
    <x:xf numFmtId="0" fontId="24" fillId="14" borderId="5" xfId="0" applyFont="1" applyFill="1" applyBorder="1" applyAlignment="1">
      <x:alignment horizontal="right" vertical="center" wrapText="1"/>
    </x:xf>
    <x:xf numFmtId="0" fontId="24" fillId="16" borderId="5" xfId="0" applyFont="1" applyFill="1" applyBorder="1" applyAlignment="1">
      <x:alignment horizontal="left" vertical="center" wrapText="1"/>
    </x:xf>
    <x:xf numFmtId="0" fontId="24" fillId="16" borderId="5" xfId="0" applyFont="1" applyFill="1" applyBorder="1" applyAlignment="1">
      <x:alignment horizontal="right" vertical="center" wrapText="1"/>
    </x:xf>
    <x:xf numFmtId="0" fontId="22" fillId="12" borderId="5" xfId="0" applyFont="1" applyFill="1" applyBorder="1" applyAlignment="1">
      <x:alignment horizontal="left" vertical="center"/>
    </x:xf>
    <x:xf numFmtId="0" fontId="22" fillId="12" borderId="5" xfId="0" applyFont="1" applyFill="1" applyBorder="1" applyAlignment="1">
      <x:alignment horizontal="right" vertical="center"/>
    </x:xf>
    <x:xf numFmtId="0" fontId="22" fillId="13" borderId="5" xfId="0" applyFont="1" applyFill="1" applyBorder="1" applyAlignment="1">
      <x:alignment horizontal="left" vertical="center" wrapText="1"/>
    </x:xf>
    <x:xf numFmtId="0" fontId="24" fillId="13" borderId="5" xfId="0" applyFont="1" applyFill="1" applyBorder="1" applyAlignment="1">
      <x:alignment horizontal="left" vertical="center" wrapText="1"/>
    </x:xf>
    <x:xf numFmtId="0" fontId="24" fillId="13" borderId="5" xfId="0" applyFont="1" applyFill="1" applyBorder="1" applyAlignment="1">
      <x:alignment horizontal="right" vertical="center" wrapText="1"/>
    </x:xf>
    <x:xf numFmtId="0" fontId="24" fillId="15" borderId="5" xfId="0" applyFont="1" applyFill="1" applyBorder="1" applyAlignment="1">
      <x:alignment horizontal="right" vertical="center" wrapText="1"/>
    </x:xf>
    <x:xf numFmtId="0" fontId="22" fillId="12" borderId="5" xfId="0" applyFont="1" applyFill="1" applyBorder="1" applyAlignment="1">
      <x:alignment horizontal="left" vertical="center" wrapText="1"/>
    </x:xf>
    <x:xf numFmtId="0" fontId="22" fillId="12" borderId="5" xfId="0" applyFont="1" applyFill="1" applyBorder="1" applyAlignment="1">
      <x:alignment horizontal="right" vertical="center" wrapText="1"/>
    </x:xf>
    <x:xf numFmtId="0" fontId="24" fillId="15" borderId="5" xfId="0" applyFont="1" applyFill="1" applyBorder="1" applyAlignment="1">
      <x:alignment horizontal="left" vertical="center" wrapText="1"/>
    </x:xf>
    <x:xf numFmtId="0" fontId="32" fillId="14" borderId="5" xfId="0" applyFont="1" applyFill="1" applyBorder="1" applyAlignment="1">
      <x:alignment horizontal="left" vertical="center" wrapText="1"/>
    </x:xf>
    <x:xf numFmtId="0" fontId="32" fillId="16" borderId="5" xfId="0" applyFont="1" applyFill="1" applyBorder="1" applyAlignment="1">
      <x:alignment horizontal="left" vertical="center" wrapText="1"/>
    </x:xf>
    <x:xf numFmtId="0" fontId="31" fillId="11" borderId="5" xfId="0" applyFont="1" applyFill="1" applyBorder="1" applyAlignment="1">
      <x:alignment horizontal="left" vertical="center"/>
    </x:xf>
    <x:xf numFmtId="0" fontId="31" fillId="11" borderId="5" xfId="0" applyFont="1" applyFill="1" applyBorder="1" applyAlignment="1">
      <x:alignment horizontal="right" vertical="center"/>
    </x:xf>
    <x:xf numFmtId="0" fontId="31" fillId="11" borderId="5" xfId="0" applyFont="1" applyFill="1" applyBorder="1"/>
    <x:xf numFmtId="3" fontId="22" fillId="12" borderId="5" xfId="0" applyNumberFormat="1" applyFont="1" applyFill="1" applyBorder="1" applyAlignment="1">
      <x:alignment horizontal="center" vertical="center" wrapText="1"/>
    </x:xf>
    <x:xf numFmtId="166" fontId="22" fillId="12" borderId="5" xfId="0" applyNumberFormat="1" applyFont="1" applyFill="1" applyBorder="1" applyAlignment="1">
      <x:alignment horizontal="center" vertical="center" wrapText="1"/>
    </x:xf>
    <x:xf numFmtId="169" fontId="22" fillId="12" borderId="5" xfId="0" applyNumberFormat="1" applyFont="1" applyFill="1" applyBorder="1" applyAlignment="1">
      <x:alignment horizontal="center" vertical="center" wrapText="1"/>
    </x:xf>
    <x:xf numFmtId="3" fontId="24" fillId="14" borderId="5" xfId="0" applyNumberFormat="1" applyFont="1" applyFill="1" applyBorder="1" applyAlignment="1">
      <x:alignment horizontal="right" vertical="center" wrapText="1"/>
    </x:xf>
    <x:xf numFmtId="166" fontId="24" fillId="14" borderId="5" xfId="0" applyNumberFormat="1" applyFont="1" applyFill="1" applyBorder="1" applyAlignment="1">
      <x:alignment horizontal="right" vertical="center" wrapText="1"/>
    </x:xf>
    <x:xf numFmtId="169" fontId="24" fillId="14" borderId="5" xfId="0" applyNumberFormat="1" applyFont="1" applyFill="1" applyBorder="1" applyAlignment="1">
      <x:alignment horizontal="right" vertical="center" wrapText="1"/>
    </x:xf>
    <x:xf numFmtId="3" fontId="24" fillId="16" borderId="5" xfId="0" applyNumberFormat="1" applyFont="1" applyFill="1" applyBorder="1" applyAlignment="1">
      <x:alignment horizontal="right" vertical="center" wrapText="1"/>
    </x:xf>
    <x:xf numFmtId="166" fontId="24" fillId="16" borderId="5" xfId="0" applyNumberFormat="1" applyFont="1" applyFill="1" applyBorder="1" applyAlignment="1">
      <x:alignment horizontal="right" vertical="center" wrapText="1"/>
    </x:xf>
    <x:xf numFmtId="169" fontId="24" fillId="16" borderId="5" xfId="0" applyNumberFormat="1" applyFont="1" applyFill="1" applyBorder="1" applyAlignment="1">
      <x:alignment horizontal="right" vertical="center" wrapText="1"/>
    </x:xf>
    <x:xf numFmtId="10" fontId="22" fillId="12" borderId="5" xfId="0" applyNumberFormat="1" applyFont="1" applyFill="1" applyBorder="1" applyAlignment="1">
      <x:alignment horizontal="center" vertical="center" wrapText="1"/>
    </x:xf>
    <x:xf numFmtId="10" fontId="24" fillId="14" borderId="5" xfId="0" applyNumberFormat="1" applyFont="1" applyFill="1" applyBorder="1" applyAlignment="1">
      <x:alignment horizontal="left" vertical="center" wrapText="1"/>
    </x:xf>
    <x:xf numFmtId="165" fontId="24" fillId="14" borderId="5" xfId="0" applyNumberFormat="1" applyFont="1" applyFill="1" applyBorder="1" applyAlignment="1">
      <x:alignment horizontal="right" vertical="center" wrapText="1"/>
    </x:xf>
    <x:xf numFmtId="10" fontId="24" fillId="14" borderId="5" xfId="0" applyNumberFormat="1" applyFont="1" applyFill="1" applyBorder="1" applyAlignment="1">
      <x:alignment horizontal="right" vertical="center" wrapText="1"/>
    </x:xf>
    <x:xf numFmtId="10" fontId="24" fillId="16" borderId="5" xfId="0" applyNumberFormat="1" applyFont="1" applyFill="1" applyBorder="1" applyAlignment="1">
      <x:alignment horizontal="left" vertical="center" wrapText="1"/>
    </x:xf>
    <x:xf numFmtId="165" fontId="24" fillId="16" borderId="5" xfId="0" applyNumberFormat="1" applyFont="1" applyFill="1" applyBorder="1" applyAlignment="1">
      <x:alignment horizontal="right" vertical="center" wrapText="1"/>
    </x:xf>
    <x:xf numFmtId="10" fontId="24" fillId="16" borderId="5" xfId="0" applyNumberFormat="1" applyFont="1" applyFill="1" applyBorder="1" applyAlignment="1">
      <x:alignment horizontal="right" vertical="center" wrapText="1"/>
    </x:xf>
    <x:xf numFmtId="10" fontId="22" fillId="12" borderId="5" xfId="0" applyNumberFormat="1" applyFont="1" applyFill="1" applyBorder="1" applyAlignment="1">
      <x:alignment horizontal="right" vertical="center"/>
    </x:xf>
    <x:xf numFmtId="0" fontId="28" fillId="13" borderId="5" xfId="0" applyFont="1" applyFill="1" applyBorder="1" applyAlignment="1">
      <x:alignment horizontal="left" vertical="center"/>
    </x:xf>
    <x:xf numFmtId="166" fontId="24" fillId="15" borderId="5" xfId="0" applyNumberFormat="1" applyFont="1" applyFill="1" applyBorder="1" applyAlignment="1">
      <x:alignment horizontal="right" vertical="center"/>
    </x:xf>
    <x:xf numFmtId="0" fontId="27" fillId="13" borderId="5" xfId="0" applyFont="1" applyFill="1" applyBorder="1" applyAlignment="1">
      <x:alignment horizontal="right" vertical="center"/>
    </x:xf>
    <x:xf numFmtId="0" fontId="28" fillId="13" borderId="5" xfId="0" applyFont="1" applyFill="1" applyBorder="1" applyAlignment="1">
      <x:alignment horizontal="right" vertical="center"/>
    </x:xf>
    <x:xf numFmtId="3" fontId="22" fillId="12" borderId="5" xfId="0" applyNumberFormat="1" applyFont="1" applyFill="1" applyBorder="1" applyAlignment="1">
      <x:alignment horizontal="right" vertical="center"/>
    </x:xf>
    <x:xf numFmtId="165" fontId="22" fillId="12" borderId="5" xfId="0" applyNumberFormat="1" applyFont="1" applyFill="1" applyBorder="1" applyAlignment="1">
      <x:alignment horizontal="right" vertical="center"/>
    </x:xf>
    <x:xf numFmtId="0" fontId="21" fillId="11" borderId="5" xfId="0" applyFont="1" applyFill="1" applyBorder="1" applyAlignment="1">
      <x:alignment horizontal="right" vertical="center"/>
    </x:xf>
    <x:xf numFmtId="165" fontId="21" fillId="11" borderId="5" xfId="0" applyNumberFormat="1" applyFont="1" applyFill="1" applyBorder="1" applyAlignment="1">
      <x:alignment horizontal="right" vertical="center"/>
    </x:xf>
    <x:xf numFmtId="170" fontId="24" fillId="14" borderId="5" xfId="0" applyNumberFormat="1" applyFont="1" applyFill="1" applyBorder="1" applyAlignment="1">
      <x:alignment horizontal="right" vertical="center" wrapText="1"/>
    </x:xf>
    <x:xf numFmtId="170" fontId="24" fillId="16" borderId="5" xfId="0" applyNumberFormat="1" applyFont="1" applyFill="1" applyBorder="1" applyAlignment="1">
      <x:alignment horizontal="right" vertical="center" wrapText="1"/>
    </x:xf>
    <x:xf numFmtId="166" fontId="22" fillId="12" borderId="5" xfId="0" applyNumberFormat="1" applyFont="1" applyFill="1" applyBorder="1" applyAlignment="1">
      <x:alignment horizontal="right" vertical="center"/>
    </x:xf>
    <x:xf numFmtId="0" fontId="29" fillId="15" borderId="5" xfId="0" applyFont="1" applyFill="1" applyBorder="1" applyAlignment="1">
      <x:alignment horizontal="center" vertical="center"/>
    </x:xf>
    <x:xf numFmtId="0" fontId="30" fillId="17" borderId="5" xfId="0" applyFont="1" applyFill="1" applyBorder="1" applyAlignment="1">
      <x:alignment horizontal="center" vertical="center"/>
    </x:xf>
    <x:xf numFmtId="170" fontId="22" fillId="12" borderId="5" xfId="0" applyNumberFormat="1" applyFont="1" applyFill="1" applyBorder="1" applyAlignment="1">
      <x:alignment horizontal="center" vertical="center" wrapText="1"/>
    </x:xf>
    <x:xf numFmtId="3" fontId="24" fillId="13" borderId="5" xfId="0" applyNumberFormat="1" applyFont="1" applyFill="1" applyBorder="1" applyAlignment="1">
      <x:alignment horizontal="right" vertical="center" wrapText="1"/>
    </x:xf>
    <x:xf numFmtId="166" fontId="24" fillId="13" borderId="5" xfId="0" applyNumberFormat="1" applyFont="1" applyFill="1" applyBorder="1" applyAlignment="1">
      <x:alignment horizontal="right" vertical="center" wrapText="1"/>
    </x:xf>
    <x:xf numFmtId="166" fontId="24" fillId="15" borderId="5" xfId="0" applyNumberFormat="1" applyFont="1" applyFill="1" applyBorder="1" applyAlignment="1">
      <x:alignment horizontal="right" vertical="center" wrapText="1"/>
    </x:xf>
    <x:xf numFmtId="9" fontId="24" fillId="14" borderId="5" xfId="0" applyNumberFormat="1" applyFont="1" applyFill="1" applyBorder="1" applyAlignment="1">
      <x:alignment horizontal="right" vertical="center" wrapText="1"/>
    </x:xf>
    <x:xf numFmtId="9" fontId="24" fillId="16" borderId="5" xfId="0" applyNumberFormat="1" applyFont="1" applyFill="1" applyBorder="1" applyAlignment="1">
      <x:alignment horizontal="right" vertical="center" wrapText="1"/>
    </x:xf>
    <x:xf numFmtId="165" fontId="24" fillId="15" borderId="5" xfId="0" applyNumberFormat="1" applyFont="1" applyFill="1" applyBorder="1" applyAlignment="1">
      <x:alignment horizontal="right" vertical="center" wrapText="1"/>
    </x:xf>
    <x:xf numFmtId="9" fontId="24" fillId="15" borderId="5" xfId="0" applyNumberFormat="1" applyFont="1" applyFill="1" applyBorder="1" applyAlignment="1">
      <x:alignment horizontal="right" vertical="center" wrapText="1"/>
    </x:xf>
    <x:xf numFmtId="9" fontId="22" fillId="12" borderId="5" xfId="0" applyNumberFormat="1" applyFont="1" applyFill="1" applyBorder="1" applyAlignment="1">
      <x:alignment horizontal="right" vertical="center" wrapText="1"/>
    </x:xf>
    <x:xf numFmtId="168" fontId="22" fillId="12" borderId="5" xfId="0" applyNumberFormat="1" applyFont="1" applyFill="1" applyBorder="1" applyAlignment="1">
      <x:alignment horizontal="right" vertical="center"/>
    </x:xf>
    <x:xf numFmtId="165" fontId="31" fillId="11" borderId="5" xfId="0" applyNumberFormat="1" applyFont="1" applyFill="1" applyBorder="1" applyAlignment="1">
      <x:alignment horizontal="right" vertical="center"/>
    </x:xf>
    <x:xf numFmtId="10" fontId="24" fillId="15" borderId="5" xfId="0" applyNumberFormat="1" applyFont="1" applyFill="1" applyBorder="1" applyAlignment="1">
      <x:alignment horizontal="right" vertical="center" wrapText="1"/>
    </x:xf>
    <x:xf numFmtId="0" fontId="33" fillId="11" borderId="5" xfId="0" applyFont="1" applyFill="1" applyBorder="1" applyAlignment="1">
      <x:alignment horizontal="center" vertical="center" wrapText="1"/>
    </x:xf>
    <x:xf numFmtId="0" fontId="34" fillId="12" borderId="5" xfId="0" applyFont="1" applyFill="1" applyBorder="1" applyAlignment="1">
      <x:alignment horizontal="center" vertical="center" wrapText="1"/>
    </x:xf>
    <x:xf numFmtId="0" fontId="35" fillId="14" borderId="5" xfId="0" applyFont="1" applyFill="1" applyBorder="1" applyAlignment="1">
      <x:alignment horizontal="left" vertical="center" wrapText="1"/>
    </x:xf>
    <x:xf numFmtId="0" fontId="36" fillId="15" borderId="5" xfId="0" applyFont="1" applyFill="1" applyBorder="1" applyAlignment="1">
      <x:alignment horizontal="left" vertical="center" wrapText="1"/>
    </x:xf>
    <x:xf numFmtId="0" fontId="35" fillId="16" borderId="5" xfId="0" applyFont="1" applyFill="1" applyBorder="1" applyAlignment="1">
      <x:alignment horizontal="left" vertical="center" wrapText="1"/>
    </x:xf>
    <x:xf numFmtId="0" fontId="35" fillId="14" borderId="5" xfId="0" applyFont="1" applyFill="1" applyBorder="1" applyAlignment="1">
      <x:alignment horizontal="right" vertical="center"/>
    </x:xf>
    <x:xf numFmtId="0" fontId="36" fillId="14" borderId="5" xfId="0" applyFont="1" applyFill="1" applyBorder="1" applyAlignment="1">
      <x:alignment horizontal="center" vertical="center"/>
    </x:xf>
    <x:xf numFmtId="0" fontId="35" fillId="16" borderId="5" xfId="0" applyFont="1" applyFill="1" applyBorder="1" applyAlignment="1">
      <x:alignment horizontal="right" vertical="center"/>
    </x:xf>
    <x:xf numFmtId="0" fontId="36" fillId="16" borderId="5" xfId="0" applyFont="1" applyFill="1" applyBorder="1" applyAlignment="1">
      <x:alignment horizontal="center" vertical="center"/>
    </x:xf>
    <x:xf numFmtId="3" fontId="24" fillId="14" borderId="5" xfId="0" applyNumberFormat="1" applyFont="1" applyFill="1" applyBorder="1" applyAlignment="1">
      <x:alignment horizontal="right" vertical="center"/>
    </x:xf>
    <x:xf numFmtId="0" fontId="24" fillId="14" borderId="5" xfId="0" applyFont="1" applyFill="1" applyBorder="1" applyAlignment="1">
      <x:alignment horizontal="right" vertical="center"/>
    </x:xf>
    <x:xf numFmtId="164" fontId="24" fillId="14" borderId="5" xfId="0" applyNumberFormat="1" applyFont="1" applyFill="1" applyBorder="1" applyAlignment="1">
      <x:alignment horizontal="left" vertical="center"/>
    </x:xf>
    <x:xf numFmtId="165" fontId="24" fillId="14" borderId="5" xfId="0" applyNumberFormat="1" applyFont="1" applyFill="1" applyBorder="1" applyAlignment="1">
      <x:alignment horizontal="right" vertical="center"/>
    </x:xf>
    <x:xf numFmtId="166" fontId="24" fillId="14" borderId="5" xfId="0" applyNumberFormat="1" applyFont="1" applyFill="1" applyBorder="1" applyAlignment="1">
      <x:alignment horizontal="right" vertical="center"/>
    </x:xf>
    <x:xf numFmtId="167" fontId="24" fillId="14" borderId="5" xfId="0" applyNumberFormat="1" applyFont="1" applyFill="1" applyBorder="1" applyAlignment="1">
      <x:alignment horizontal="right" vertical="center"/>
    </x:xf>
    <x:xf numFmtId="2" fontId="24" fillId="14" borderId="5" xfId="0" applyNumberFormat="1" applyFont="1" applyFill="1" applyBorder="1" applyAlignment="1">
      <x:alignment horizontal="right" vertical="center"/>
    </x:xf>
    <x:xf numFmtId="164" fontId="24" fillId="16" borderId="5" xfId="0" applyNumberFormat="1" applyFont="1" applyFill="1" applyBorder="1" applyAlignment="1">
      <x:alignment horizontal="left" vertical="center"/>
    </x:xf>
    <x:xf numFmtId="165" fontId="24" fillId="16" borderId="5" xfId="0" applyNumberFormat="1" applyFont="1" applyFill="1" applyBorder="1" applyAlignment="1">
      <x:alignment horizontal="right" vertical="center"/>
    </x:xf>
    <x:xf numFmtId="3" fontId="24" fillId="16" borderId="5" xfId="0" applyNumberFormat="1" applyFont="1" applyFill="1" applyBorder="1" applyAlignment="1">
      <x:alignment horizontal="right" vertical="center"/>
    </x:xf>
    <x:xf numFmtId="166" fontId="24" fillId="16" borderId="5" xfId="0" applyNumberFormat="1" applyFont="1" applyFill="1" applyBorder="1" applyAlignment="1">
      <x:alignment horizontal="right" vertical="center"/>
    </x:xf>
    <x:xf numFmtId="167" fontId="24" fillId="16" borderId="5" xfId="0" applyNumberFormat="1" applyFont="1" applyFill="1" applyBorder="1" applyAlignment="1">
      <x:alignment horizontal="right" vertical="center"/>
    </x:xf>
    <x:xf numFmtId="0" fontId="24" fillId="16" borderId="5" xfId="0" applyFont="1" applyFill="1" applyBorder="1" applyAlignment="1">
      <x:alignment horizontal="right" vertical="center"/>
    </x:xf>
    <x:xf numFmtId="2" fontId="24" fillId="16" borderId="5" xfId="0" applyNumberFormat="1" applyFont="1" applyFill="1" applyBorder="1" applyAlignment="1">
      <x:alignment horizontal="right" vertical="center"/>
    </x:xf>
    <x:xf numFmtId="49" fontId="24" fillId="14" borderId="5" xfId="0" applyNumberFormat="1" applyFont="1" applyFill="1" applyBorder="1" applyAlignment="1">
      <x:alignment horizontal="right" vertical="center"/>
    </x:xf>
    <x:xf numFmtId="49" fontId="24" fillId="16" borderId="5" xfId="0" applyNumberFormat="1" applyFont="1" applyFill="1" applyBorder="1" applyAlignment="1">
      <x:alignment horizontal="right" vertical="center"/>
    </x:xf>
    <x:xf numFmtId="0" fontId="23" fillId="13" borderId="5" xfId="0" applyFont="1" applyFill="1" applyBorder="1" applyAlignment="1">
      <x:alignment horizontal="right" vertical="center"/>
    </x:xf>
    <x:xf numFmtId="0" fontId="22" fillId="12" borderId="5" xfId="0" applyFont="1" applyFill="1" applyBorder="1" applyAlignment="1">
      <x:alignment horizontal="center" vertical="center"/>
    </x:xf>
    <x:xf numFmtId="0" fontId="32" fillId="14" borderId="5" xfId="0" applyFont="1" applyFill="1" applyBorder="1" applyAlignment="1">
      <x:alignment horizontal="right" vertical="center"/>
    </x:xf>
    <x:xf numFmtId="0" fontId="32" fillId="15" borderId="5" xfId="0" applyFont="1" applyFill="1" applyBorder="1" applyAlignment="1">
      <x:alignment horizontal="right" vertical="center"/>
    </x:xf>
    <x:xf numFmtId="0" fontId="32" fillId="15" borderId="5" xfId="0" applyFont="1" applyFill="1" applyBorder="1" applyAlignment="1">
      <x:alignment horizontal="center" vertical="center"/>
    </x:xf>
    <x:xf numFmtId="0" fontId="21" fillId="11" borderId="5" xfId="0" applyFont="1" applyFill="1" applyBorder="1" applyAlignment="1">
      <x:alignment horizontal="left" vertical="center"/>
    </x:xf>
    <x:xf numFmtId="0" fontId="0" fillId="0" borderId="6" xfId="0" applyBorder="1"/>
    <x:xf numFmtId="0" fontId="0" fillId="0" borderId="7" xfId="0" applyBorder="1"/>
    <x:xf numFmtId="0" fontId="3" fillId="2" borderId="0" xfId="0" applyFont="1" applyFill="1" applyAlignment="1">
      <x:alignment vertical="center"/>
    </x:xf>
    <x:xf numFmtId="0" fontId="0" fillId="0" borderId="0" xfId="0"/>
    <x:xf numFmtId="0" fontId="23" fillId="13" borderId="5" xfId="0" applyFont="1" applyFill="1" applyBorder="1" applyAlignment="1">
      <x:alignment horizontal="left" vertical="center" wrapText="1"/>
    </x:xf>
    <x:xf numFmtId="0" fontId="27" fillId="13" borderId="5" xfId="0" applyFont="1" applyFill="1" applyBorder="1" applyAlignment="1">
      <x:alignment horizontal="left" vertical="center" wrapText="1"/>
    </x:xf>
    <x:xf numFmtId="0" fontId="31" fillId="11" borderId="5" xfId="0" applyFont="1" applyFill="1" applyBorder="1" applyAlignment="1">
      <x:alignment horizontal="center" vertical="center"/>
    </x:xf>
    <x:xf numFmtId="0" fontId="27" fillId="13" borderId="5" xfId="0" applyFont="1" applyFill="1" applyBorder="1" applyAlignment="1">
      <x:alignment horizontal="center" vertical="center" wrapText="1"/>
    </x:xf>
    <x:xf numFmtId="0" fontId="26" fillId="12" borderId="5" xfId="0" applyFont="1" applyFill="1" applyBorder="1" applyAlignment="1">
      <x:alignment horizontal="left" vertical="center"/>
    </x:xf>
    <x:xf numFmtId="0" fontId="26" fillId="12" borderId="5" xfId="0" applyFont="1" applyFill="1" applyBorder="1" applyAlignment="1">
      <x:alignment horizontal="left" vertical="center" wrapText="1"/>
    </x:xf>
    <x:xf numFmtId="0" fontId="7" fillId="4" borderId="0" xfId="0" applyFont="1" applyFill="1"/>
    <x:xf numFmtId="0" fontId="24" fillId="0" borderId="5" xfId="0" applyFont="1" applyFill="1" applyBorder="1" applyAlignment="1">
      <x:alignment horizontal="left" vertical="center"/>
    </x:xf>
    <x:xf numFmtId="0" fontId="0" fillId="0" borderId="0" xfId="0" applyFill="1"/>
    <x:xf numFmtId="0" fontId="22" fillId="0" borderId="5" xfId="0" applyFont="1" applyFill="1" applyBorder="1" applyAlignment="1">
      <x:alignment horizontal="right" vertical="center"/>
    </x:xf>
    <x:xf numFmtId="0" fontId="37" fillId="12" borderId="5" xfId="0" applyFont="1" applyFill="1" applyBorder="1" applyAlignment="1">
      <x:alignment horizontal="center" vertical="center" wrapText="1"/>
    </x:xf>
    <x:xf numFmtId="0" fontId="38" fillId="12" borderId="5" xfId="0" applyFont="1" applyFill="1" applyBorder="1" applyAlignment="1">
      <x:alignment horizontal="center" vertical="center" wrapText="1"/>
    </x:xf>
    <x:xf numFmtId="0" fontId="38" fillId="12" borderId="5" xfId="0" applyFont="1" applyFill="1" applyBorder="1" applyAlignment="1">
      <x:alignment horizontal="center" vertical="center"/>
    </x:xf>
    <x:xf numFmtId="0" fontId="39" fillId="14" borderId="5" xfId="0" applyFont="1" applyFill="1" applyBorder="1" applyAlignment="1">
      <x:alignment horizontal="right" vertical="center"/>
    </x:xf>
    <x:xf numFmtId="0" fontId="38" fillId="12" borderId="5" xfId="0" applyFont="1" applyFill="1" applyBorder="1" applyAlignment="1">
      <x:alignment horizontal="left" vertical="center"/>
    </x:xf>
    <x:xf numFmtId="0" fontId="38" fillId="12" borderId="5" xfId="0" applyFont="1" applyFill="1" applyBorder="1" applyAlignment="1">
      <x:alignment horizontal="right" vertical="center"/>
    </x:xf>
    <x:xf numFmtId="165" fontId="38" fillId="12" borderId="5" xfId="0" applyNumberFormat="1" applyFont="1" applyFill="1" applyBorder="1" applyAlignment="1">
      <x:alignment horizontal="right" vertical="center"/>
    </x:xf>
    <x:xf numFmtId="3" fontId="38" fillId="12" borderId="5" xfId="0" applyNumberFormat="1" applyFont="1" applyFill="1" applyBorder="1" applyAlignment="1">
      <x:alignment horizontal="right" vertical="center"/>
    </x:xf>
    <x:xf numFmtId="0" fontId="38" fillId="13" borderId="5" xfId="0" applyFont="1" applyFill="1" applyBorder="1" applyAlignment="1">
      <x:alignment horizontal="left" vertical="center"/>
    </x:xf>
    <x:xf numFmtId="165" fontId="38" fillId="13" borderId="5" xfId="0" applyNumberFormat="1" applyFont="1" applyFill="1" applyBorder="1" applyAlignment="1">
      <x:alignment horizontal="right" vertical="center"/>
    </x:xf>
    <x:xf numFmtId="3" fontId="38" fillId="13" borderId="5" xfId="0" applyNumberFormat="1" applyFont="1" applyFill="1" applyBorder="1" applyAlignment="1">
      <x:alignment horizontal="right" vertical="center"/>
    </x:xf>
  </x:cellXfs>
  <x:cellStyles count="11">
    <x:cellStyle name="2" xfId="1"/>
    <x:cellStyle name="Comma 2" xfId="2"/>
    <x:cellStyle name="Comma 2 2" xfId="3"/>
    <x:cellStyle name="Comma 3" xfId="4"/>
    <x:cellStyle name="Currency 2" xfId="5"/>
    <x:cellStyle name="Normal" xfId="0"/>
    <x:cellStyle name="Normal 2" xfId="6"/>
    <x:cellStyle name="Normal 2 2" xfId="7"/>
    <x:cellStyle name="Normal 3" xfId="8"/>
    <x:cellStyle name="Percent 2" xfId="9"/>
    <x:cellStyle name="Percent 2 2" xfId="10"/>
  </x:cellStyles>
  <x:dxfs count="2">
    <x:dxf>
      <x:font>
        <x:sz val="11"/>
        <x:color rgb="FFC62828"/>
        <x:name val="Calibri"/>
      </x:font>
      <x:fill>
        <x:patternFill>
          <x:bgColor rgb="FFFDECEA"/>
        </x:patternFill>
      </x:fill>
    </x:dxf>
    <x:dxf>
      <x:font>
        <x:sz val="11"/>
        <x:color rgb="FF2E7D32"/>
        <x:name val="Calibri"/>
      </x:font>
      <x:fill>
        <x:patternFill>
          <x:bgColor rgb="FFE8F5E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88888"/>
      <x:rgbColor rgb="FF9999FF"/>
      <x:rgbColor rgb="FF6435B9"/>
      <x:rgbColor rgb="FFFFFFCC"/>
      <x:rgbColor rgb="FFEAE6F2"/>
      <x:rgbColor rgb="FF660066"/>
      <x:rgbColor rgb="FFFF8080"/>
      <x:rgbColor rgb="FF0066CC"/>
      <x:rgbColor rgb="FFD5CCEB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969696"/>
      <x:rgbColor rgb="FF003366"/>
      <x:rgbColor rgb="FF339966"/>
      <x:rgbColor rgb="FF003300"/>
      <x:rgbColor rgb="FF595959"/>
      <x:rgbColor rgb="FF993300"/>
      <x:rgbColor rgb="FF582EA1"/>
      <x:rgbColor rgb="FF3F2A66"/>
      <x:rgbColor rgb="FF444444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78310f9aac412b" /><Relationship Type="http://schemas.openxmlformats.org/officeDocument/2006/relationships/theme" Target="/xl/theme/theme1.xml" Id="Rbdb318ef505b4898" /><Relationship Type="http://schemas.openxmlformats.org/officeDocument/2006/relationships/sharedStrings" Target="/xl/sharedStrings.xml" Id="R85ecd17339eb4e22" /><Relationship Type="http://schemas.openxmlformats.org/officeDocument/2006/relationships/worksheet" Target="/xl/worksheets/sheet1.xml" Id="R10f8e4898d7d4854" /><Relationship Type="http://schemas.openxmlformats.org/officeDocument/2006/relationships/worksheet" Target="/xl/worksheets/sheet2.xml" Id="Rbe5792b01df34314" /><Relationship Type="http://schemas.openxmlformats.org/officeDocument/2006/relationships/worksheet" Target="/xl/worksheets/sheet3.xml" Id="R60fb8bb4db7e4b3e" /><Relationship Type="http://schemas.openxmlformats.org/officeDocument/2006/relationships/worksheet" Target="/xl/worksheets/sheet4.xml" Id="R7421002f18094745" /><Relationship Type="http://schemas.openxmlformats.org/officeDocument/2006/relationships/worksheet" Target="/xl/worksheets/sheet5.xml" Id="R7ac726123ef44618" /><Relationship Type="http://schemas.openxmlformats.org/officeDocument/2006/relationships/worksheet" Target="/xl/worksheets/sheet6.xml" Id="Rc278077f06a748f6" /><Relationship Type="http://schemas.openxmlformats.org/officeDocument/2006/relationships/worksheet" Target="/xl/worksheets/sheet7.xml" Id="R32c164f6818c438d" /><Relationship Type="http://schemas.openxmlformats.org/officeDocument/2006/relationships/worksheet" Target="/xl/worksheets/sheet8.xml" Id="R726b5312f10840e9" /><Relationship Type="http://schemas.openxmlformats.org/officeDocument/2006/relationships/worksheet" Target="/xl/worksheets/sheet9.xml" Id="R690770976ac748be" /><Relationship Type="http://schemas.openxmlformats.org/officeDocument/2006/relationships/worksheet" Target="/xl/worksheets/sheet10.xml" Id="Rcc57a98caba34c9d" /><Relationship Type="http://schemas.openxmlformats.org/officeDocument/2006/relationships/worksheet" Target="/xl/worksheets/sheet11.xml" Id="Rf7182f0aa3984d25" /><Relationship Type="http://schemas.openxmlformats.org/officeDocument/2006/relationships/worksheet" Target="/xl/worksheets/sheet12.xml" Id="Rd34360ebe7024660" /><Relationship Type="http://schemas.openxmlformats.org/officeDocument/2006/relationships/worksheet" Target="/xl/worksheets/sheet13.xml" Id="R4bedabe654ee49fd" /><Relationship Type="http://schemas.openxmlformats.org/officeDocument/2006/relationships/worksheet" Target="/xl/worksheets/sheet14.xml" Id="R5cd3151ae4fb467b" /><Relationship Type="http://schemas.openxmlformats.org/officeDocument/2006/relationships/worksheet" Target="/xl/worksheets/sheet15.xml" Id="Rf09807114f3f4d2d" /><Relationship Type="http://schemas.openxmlformats.org/officeDocument/2006/relationships/worksheet" Target="/xl/worksheets/sheet16.xml" Id="R52c71fcabfd54180" /><Relationship Type="http://schemas.openxmlformats.org/officeDocument/2006/relationships/worksheet" Target="/xl/worksheets/sheet17.xml" Id="R366794d1d1054970" 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199999809265137"/>
  <x:cols>
    <x:col min="1" max="1" width="18" customWidth="1"/>
    <x:col min="2" max="2" width="25" customWidth="1"/>
    <x:col min="3" max="3" width="32" customWidth="1"/>
    <x:col min="4" max="4" width="10" customWidth="1"/>
  </x:cols>
  <x:sheetData>
    <x:row r="1" ht="18" customHeight="1">
      <x:c r="A1" s="149" t="s">
        <x:v>0</x:v>
      </x:c>
      <x:c r="B1" s="150"/>
      <x:c r="C1" s="150"/>
      <x:c r="D1" s="151"/>
    </x:row>
    <x:row r="2" ht="16.049999237060547" customHeight="1">
      <x:c r="A2" s="39" t="s">
        <x:v>1</x:v>
      </x:c>
      <x:c r="B2" s="39" t="s">
        <x:v>2</x:v>
      </x:c>
      <x:c r="C2" s="39" t="s">
        <x:v>3</x:v>
      </x:c>
      <x:c r="D2" s="39" t="s">
        <x:v>4</x:v>
      </x:c>
    </x:row>
    <x:row r="3" ht="13.949999809265137" customHeight="1">
      <x:c r="A3" s="154" t="s">
        <x:v>5</x:v>
      </x:c>
      <x:c r="B3" s="150"/>
      <x:c r="C3" s="150"/>
      <x:c r="D3" s="151"/>
    </x:row>
    <x:row r="4" ht="13.949999809265137" customHeight="1">
      <x:c r="A4" s="154" t="s">
        <x:v>6</x:v>
      </x:c>
      <x:c r="B4" s="150"/>
      <x:c r="C4" s="150"/>
      <x:c r="D4" s="151"/>
    </x:row>
    <x:row r="5" ht="18" customHeight="1">
      <x:c r="A5" s="149" t="s">
        <x:v>7</x:v>
      </x:c>
      <x:c r="B5" s="150"/>
      <x:c r="C5" s="150"/>
      <x:c r="D5" s="151"/>
    </x:row>
    <x:row r="6" ht="15" customHeight="1">
      <x:c r="A6" s="40" t="s">
        <x:v>8</x:v>
      </x:c>
      <x:c r="B6" s="41"/>
      <x:c r="C6" s="42" t="str">
        <x:v>e.g. DEMO-001</x:v>
      </x:c>
      <x:c r="D6" s="43" t="str">
        <x:f t="shared" ref="D6:D11" si="0">IF(B6&lt;&gt;"","✓","—")</x:f>
        <x:v>—</x:v>
      </x:c>
    </x:row>
    <x:row r="7" ht="15" customHeight="1">
      <x:c r="A7" s="44" t="s">
        <x:v>9</x:v>
      </x:c>
      <x:c r="B7" s="41"/>
      <x:c r="C7" s="45" t="s">
        <x:v>10</x:v>
      </x:c>
      <x:c r="D7" s="46" t="str">
        <x:f t="shared" si="0"/>
        <x:v>—</x:v>
      </x:c>
    </x:row>
    <x:row r="8" ht="15" customHeight="1">
      <x:c r="A8" s="40" t="s">
        <x:v>11</x:v>
      </x:c>
      <x:c r="B8" s="41"/>
      <x:c r="C8" s="42" t="s">
        <x:v>10</x:v>
      </x:c>
      <x:c r="D8" s="43" t="str">
        <x:f t="shared" si="0"/>
        <x:v>—</x:v>
      </x:c>
    </x:row>
    <x:row r="9" ht="15" customHeight="1">
      <x:c r="A9" s="44" t="s">
        <x:v>12</x:v>
      </x:c>
      <x:c r="B9" s="41"/>
      <x:c r="C9" s="45" t="s">
        <x:v>13</x:v>
      </x:c>
      <x:c r="D9" s="46" t="str">
        <x:f t="shared" si="0"/>
        <x:v>—</x:v>
      </x:c>
    </x:row>
    <x:row r="10" ht="15" customHeight="1">
      <x:c r="A10" s="40" t="s">
        <x:v>14</x:v>
      </x:c>
      <x:c r="B10" s="41"/>
      <x:c r="C10" s="42" t="s">
        <x:v>15</x:v>
      </x:c>
      <x:c r="D10" s="43" t="str">
        <x:f t="shared" si="0"/>
        <x:v>—</x:v>
      </x:c>
    </x:row>
    <x:row r="11" ht="15" customHeight="1">
      <x:c r="A11" s="44" t="s">
        <x:v>16</x:v>
      </x:c>
      <x:c r="B11" s="41"/>
      <x:c r="C11" s="45" t="s">
        <x:v>17</x:v>
      </x:c>
      <x:c r="D11" s="46" t="str">
        <x:f t="shared" si="0"/>
        <x:v>—</x:v>
      </x:c>
    </x:row>
    <x:row r="12" ht="18" customHeight="1">
      <x:c r="A12" s="149" t="s">
        <x:v>18</x:v>
      </x:c>
      <x:c r="B12" s="150"/>
      <x:c r="C12" s="150"/>
      <x:c r="D12" s="151"/>
    </x:row>
    <x:row r="13" ht="15" customHeight="1">
      <x:c r="A13" s="44" t="s">
        <x:v>19</x:v>
      </x:c>
      <x:c r="B13" s="41"/>
      <x:c r="C13" s="45" t="s">
        <x:v>20</x:v>
      </x:c>
      <x:c r="D13" s="46" t="str">
        <x:f t="shared" ref="D13:D18" si="1">IF(B13&lt;&gt;"","✓","—")</x:f>
        <x:v>—</x:v>
      </x:c>
    </x:row>
    <x:row r="14" ht="15" customHeight="1">
      <x:c r="A14" s="40" t="s">
        <x:v>21</x:v>
      </x:c>
      <x:c r="B14" s="41"/>
      <x:c r="C14" s="42" t="s">
        <x:v>22</x:v>
      </x:c>
      <x:c r="D14" s="43" t="str">
        <x:f t="shared" si="1"/>
        <x:v>—</x:v>
      </x:c>
    </x:row>
    <x:row r="15" ht="15" customHeight="1">
      <x:c r="A15" s="44" t="s">
        <x:v>23</x:v>
      </x:c>
      <x:c r="B15" s="41"/>
      <x:c r="C15" s="45" t="s">
        <x:v>24</x:v>
      </x:c>
      <x:c r="D15" s="46" t="str">
        <x:f t="shared" si="1"/>
        <x:v>—</x:v>
      </x:c>
    </x:row>
    <x:row r="16" ht="15" customHeight="1">
      <x:c r="A16" s="40" t="s">
        <x:v>25</x:v>
      </x:c>
      <x:c r="B16" s="41"/>
      <x:c r="C16" s="42" t="s">
        <x:v>26</x:v>
      </x:c>
      <x:c r="D16" s="43" t="str">
        <x:f t="shared" si="1"/>
        <x:v>—</x:v>
      </x:c>
    </x:row>
    <x:row r="17" ht="15" customHeight="1">
      <x:c r="A17" s="44" t="s">
        <x:v>27</x:v>
      </x:c>
      <x:c r="B17" s="41"/>
      <x:c r="C17" s="45" t="s">
        <x:v>28</x:v>
      </x:c>
      <x:c r="D17" s="46" t="str">
        <x:f t="shared" si="1"/>
        <x:v>—</x:v>
      </x:c>
    </x:row>
    <x:row r="18" ht="15" customHeight="1">
      <x:c r="A18" s="40" t="s">
        <x:v>29</x:v>
      </x:c>
      <x:c r="B18" s="41"/>
      <x:c r="C18" s="42" t="s">
        <x:v>30</x:v>
      </x:c>
      <x:c r="D18" s="43" t="str">
        <x:f t="shared" si="1"/>
        <x:v>—</x:v>
      </x:c>
    </x:row>
    <x:row r="19" ht="18" customHeight="1">
      <x:c r="A19" s="149" t="s">
        <x:v>31</x:v>
      </x:c>
      <x:c r="B19" s="150"/>
      <x:c r="C19" s="150"/>
      <x:c r="D19" s="151"/>
    </x:row>
    <x:row r="20" ht="15" customHeight="1">
      <x:c r="A20" s="40" t="s">
        <x:v>32</x:v>
      </x:c>
      <x:c r="B20" s="41"/>
      <x:c r="C20" s="42" t="s">
        <x:v>26</x:v>
      </x:c>
      <x:c r="D20" s="43" t="str">
        <x:f>IF(B20&lt;&gt;"","✓","—")</x:f>
        <x:v>—</x:v>
      </x:c>
    </x:row>
    <x:row r="21" ht="15" customHeight="1">
      <x:c r="A21" s="44" t="s">
        <x:v>33</x:v>
      </x:c>
      <x:c r="B21" s="41"/>
      <x:c r="C21" s="45" t="str">
        <x:v>e.g. Test Metro</x:v>
      </x:c>
      <x:c r="D21" s="46" t="str">
        <x:f>IF(B21&lt;&gt;"","✓","—")</x:f>
        <x:v>—</x:v>
      </x:c>
    </x:row>
    <x:row r="22" ht="15" customHeight="1">
      <x:c r="A22" s="40" t="s">
        <x:v>34</x:v>
      </x:c>
      <x:c r="B22" s="41"/>
      <x:c r="C22" s="42" t="s">
        <x:v>35</x:v>
      </x:c>
      <x:c r="D22" s="43" t="str">
        <x:f>IF(B22&lt;&gt;"","✓","—")</x:f>
        <x:v>—</x:v>
      </x:c>
    </x:row>
    <x:row r="23" ht="15" customHeight="1">
      <x:c r="A23" s="44" t="s">
        <x:v>36</x:v>
      </x:c>
      <x:c r="B23" s="41"/>
      <x:c r="C23" s="45" t="str">
        <x:v>e.g. Example</x:v>
      </x:c>
      <x:c r="D23" s="46" t="str">
        <x:f>IF(B23&lt;&gt;"","✓","—")</x:f>
        <x:v>—</x:v>
      </x:c>
    </x:row>
    <x:row r="24" ht="15" customHeight="1">
      <x:c r="A24" s="40" t="s">
        <x:v>37</x:v>
      </x:c>
      <x:c r="B24" s="41"/>
      <x:c r="C24" s="42" t="s">
        <x:v>38</x:v>
      </x:c>
      <x:c r="D24" s="43"/>
    </x:row>
    <x:row r="25" ht="15" customHeight="1">
      <x:c r="A25" s="44" t="s">
        <x:v>39</x:v>
      </x:c>
      <x:c r="B25" s="41"/>
      <x:c r="C25" s="45" t="s">
        <x:v>40</x:v>
      </x:c>
      <x:c r="D25" s="46" t="str">
        <x:f>IF(B24&lt;&gt;"","✓","—")</x:f>
        <x:v>—</x:v>
      </x:c>
    </x:row>
    <x:row r="26" ht="15" customHeight="1">
      <x:c r="A26" s="40" t="s">
        <x:v>41</x:v>
      </x:c>
      <x:c r="B26" s="41"/>
      <x:c r="C26" s="42" t="s">
        <x:v>42</x:v>
      </x:c>
      <x:c r="D26" s="43" t="str">
        <x:f>IF(B25&lt;&gt;"","✓","—")</x:f>
        <x:v>—</x:v>
      </x:c>
    </x:row>
    <x:row r="27" ht="15" customHeight="1">
      <x:c r="A27" s="44" t="s">
        <x:v>43</x:v>
      </x:c>
      <x:c r="B27" s="41"/>
      <x:c r="C27" s="45" t="s">
        <x:v>44</x:v>
      </x:c>
      <x:c r="D27" s="46" t="str">
        <x:f>IF(B26&lt;&gt;"","✓","—")</x:f>
        <x:v>—</x:v>
      </x:c>
    </x:row>
    <x:row r="28" ht="18" customHeight="1">
      <x:c r="A28" s="149" t="s">
        <x:v>45</x:v>
      </x:c>
      <x:c r="B28" s="150"/>
      <x:c r="C28" s="150"/>
      <x:c r="D28" s="151"/>
    </x:row>
    <x:row r="29" ht="18" customHeight="1">
      <x:c r="A29" s="149" t="s">
        <x:v>46</x:v>
      </x:c>
      <x:c r="B29" s="150"/>
      <x:c r="C29" s="150"/>
      <x:c r="D29" s="151"/>
    </x:row>
    <x:row r="30" ht="15" customHeight="1">
      <x:c r="A30" s="40" t="s">
        <x:v>47</x:v>
      </x:c>
      <x:c r="B30" s="41"/>
      <x:c r="C30" s="42" t="s">
        <x:v>48</x:v>
      </x:c>
      <x:c r="D30" s="43" t="str">
        <x:f t="shared" ref="D30:D40" si="2">IF(B29&lt;&gt;"","✓","—")</x:f>
        <x:v>—</x:v>
      </x:c>
    </x:row>
    <x:row r="31" ht="15" customHeight="1">
      <x:c r="A31" s="44" t="s">
        <x:v>49</x:v>
      </x:c>
      <x:c r="B31" s="41"/>
      <x:c r="C31" s="45" t="s">
        <x:v>50</x:v>
      </x:c>
      <x:c r="D31" s="46" t="str">
        <x:f t="shared" si="2"/>
        <x:v>—</x:v>
      </x:c>
    </x:row>
    <x:row r="32" ht="15" customHeight="1">
      <x:c r="A32" s="40" t="s">
        <x:v>51</x:v>
      </x:c>
      <x:c r="B32" s="41"/>
      <x:c r="C32" s="42" t="s">
        <x:v>52</x:v>
      </x:c>
      <x:c r="D32" s="43" t="str">
        <x:f t="shared" si="2"/>
        <x:v>—</x:v>
      </x:c>
    </x:row>
    <x:row r="33" ht="15" customHeight="1">
      <x:c r="A33" s="44" t="s">
        <x:v>53</x:v>
      </x:c>
      <x:c r="B33" s="41"/>
      <x:c r="C33" s="45" t="s">
        <x:v>54</x:v>
      </x:c>
      <x:c r="D33" s="46" t="str">
        <x:f t="shared" si="2"/>
        <x:v>—</x:v>
      </x:c>
    </x:row>
    <x:row r="34" ht="18" customHeight="1">
      <x:c r="A34" s="33" t="s">
        <x:v>55</x:v>
      </x:c>
      <x:c r="B34" s="34"/>
      <x:c r="C34" s="35"/>
      <x:c r="D34" s="36" t="str">
        <x:f t="shared" si="2"/>
        <x:v>—</x:v>
      </x:c>
    </x:row>
    <x:row r="35" ht="18" customHeight="1">
      <x:c r="A35" s="33" t="s">
        <x:v>56</x:v>
      </x:c>
      <x:c r="B35" s="34"/>
      <x:c r="C35" s="35"/>
      <x:c r="D35" s="36" t="str">
        <x:f t="shared" si="2"/>
        <x:v>—</x:v>
      </x:c>
    </x:row>
    <x:row r="36" ht="18" customHeight="1">
      <x:c r="A36" s="33" t="s">
        <x:v>57</x:v>
      </x:c>
      <x:c r="B36" s="34"/>
      <x:c r="C36" s="35"/>
      <x:c r="D36" s="36" t="str">
        <x:f t="shared" si="2"/>
        <x:v>—</x:v>
      </x:c>
    </x:row>
    <x:row r="37" ht="18" customHeight="1">
      <x:c r="A37" s="33" t="s">
        <x:v>58</x:v>
      </x:c>
      <x:c r="B37" s="34"/>
      <x:c r="C37" s="35"/>
      <x:c r="D37" s="36" t="str">
        <x:f t="shared" si="2"/>
        <x:v>—</x:v>
      </x:c>
    </x:row>
    <x:row r="38" ht="15" customHeight="1">
      <x:c r="A38" s="40" t="s">
        <x:v>59</x:v>
      </x:c>
      <x:c r="B38" s="41"/>
      <x:c r="C38" s="42" t="s">
        <x:v>60</x:v>
      </x:c>
      <x:c r="D38" s="43" t="str">
        <x:f t="shared" si="2"/>
        <x:v>—</x:v>
      </x:c>
    </x:row>
    <x:row r="39" ht="18" customHeight="1">
      <x:c r="A39" s="33" t="s">
        <x:v>61</x:v>
      </x:c>
      <x:c r="B39" s="34"/>
      <x:c r="C39" s="35"/>
      <x:c r="D39" s="36" t="str">
        <x:f t="shared" si="2"/>
        <x:v>—</x:v>
      </x:c>
    </x:row>
    <x:row r="40" ht="15" customHeight="1">
      <x:c r="A40" s="40" t="s">
        <x:v>62</x:v>
      </x:c>
      <x:c r="B40" s="41"/>
      <x:c r="C40" s="42" t="s">
        <x:v>63</x:v>
      </x:c>
      <x:c r="D40" s="43" t="str">
        <x:f t="shared" si="2"/>
        <x:v>—</x:v>
      </x:c>
    </x:row>
    <x:row r="41" ht="22.049999237060547" customHeight="1">
      <x:c r="A41" s="47" t="s">
        <x:v>64</x:v>
      </x:c>
    </x:row>
    <x:row r="42" ht="18" customHeight="1">
      <x:c r="A42" s="149" t="s">
        <x:v>65</x:v>
      </x:c>
      <x:c r="B42" s="150"/>
      <x:c r="C42" s="150"/>
      <x:c r="D42" s="151"/>
    </x:row>
    <x:row r="43" ht="15" customHeight="1">
      <x:c r="A43" s="44" t="s">
        <x:v>66</x:v>
      </x:c>
      <x:c r="B43" s="41"/>
      <x:c r="C43" s="45" t="str">
        <x:v>e.g. Example Electric Cooperative</x:v>
      </x:c>
      <x:c r="D43" s="46"/>
    </x:row>
    <x:row r="44" ht="15" customHeight="1">
      <x:c r="A44" s="40" t="s">
        <x:v>67</x:v>
      </x:c>
      <x:c r="B44" s="41"/>
      <x:c r="C44" s="42" t="str">
        <x:v>e.g. Example Gas Utility</x:v>
      </x:c>
      <x:c r="D44" s="43"/>
    </x:row>
    <x:row r="45" ht="15" customHeight="1">
      <x:c r="A45" s="44" t="s">
        <x:v>68</x:v>
      </x:c>
      <x:c r="B45" s="41"/>
      <x:c r="C45" s="45" t="str">
        <x:v>e.g. Test Metro Water Works</x:v>
      </x:c>
      <x:c r="D45" s="46"/>
    </x:row>
    <x:row r="46" ht="15" customHeight="1">
      <x:c r="A46" s="40" t="s">
        <x:v>69</x:v>
      </x:c>
      <x:c r="B46" s="41"/>
      <x:c r="C46" s="42" t="str">
        <x:v>e.g. Example County</x:v>
      </x:c>
      <x:c r="D46" s="43"/>
    </x:row>
    <x:row r="47" ht="15" customHeight="1">
      <x:c r="A47" s="44" t="s">
        <x:v>70</x:v>
      </x:c>
      <x:c r="B47" s="41"/>
      <x:c r="C47" s="45" t="str">
        <x:v>e.g. Example Telecom</x:v>
      </x:c>
      <x:c r="D47" s="46"/>
    </x:row>
    <x:row r="48" ht="15" customHeight="1">
      <x:c r="A48" s="40" t="s">
        <x:v>71</x:v>
      </x:c>
      <x:c r="B48" s="41"/>
      <x:c r="C48" s="42" t="s">
        <x:v>72</x:v>
      </x:c>
      <x:c r="D48" s="43"/>
    </x:row>
    <x:row r="49" ht="15" customHeight="1">
      <x:c r="A49" s="44" t="s">
        <x:v>73</x:v>
      </x:c>
      <x:c r="B49" s="41"/>
      <x:c r="C49" s="45" t="s">
        <x:v>74</x:v>
      </x:c>
      <x:c r="D49" s="46"/>
    </x:row>
    <x:row r="50" ht="15" customHeight="1">
      <x:c r="A50" s="40" t="s">
        <x:v>75</x:v>
      </x:c>
      <x:c r="B50" s="41"/>
      <x:c r="C50" s="42" t="s">
        <x:v>74</x:v>
      </x:c>
      <x:c r="D50" s="43"/>
    </x:row>
    <x:row r="51" ht="15" customHeight="1">
      <x:c r="A51" s="44"/>
      <x:c r="B51" s="41"/>
      <x:c r="C51" s="45"/>
      <x:c r="D51" s="46"/>
    </x:row>
    <x:row r="52" ht="15" customHeight="1">
      <x:c r="A52" s="40"/>
      <x:c r="B52" s="41"/>
      <x:c r="C52" s="42"/>
      <x:c r="D52" s="43"/>
    </x:row>
    <x:row r="53" ht="18" customHeight="1">
      <x:c r="A53" s="149" t="s">
        <x:v>76</x:v>
      </x:c>
      <x:c r="B53" s="150"/>
      <x:c r="C53" s="150"/>
      <x:c r="D53" s="151"/>
    </x:row>
    <x:row r="54" ht="22.049999237060547" customHeight="1">
      <x:c r="A54" s="37" t="s">
        <x:v>77</x:v>
      </x:c>
    </x:row>
    <x:row r="55" ht="15" customHeight="1">
      <x:c r="A55" s="44" t="s">
        <x:v>78</x:v>
      </x:c>
      <x:c r="B55" s="41"/>
      <x:c r="C55" s="45" t="s">
        <x:v>79</x:v>
      </x:c>
      <x:c r="D55" s="46"/>
    </x:row>
    <x:row r="56" ht="15" customHeight="1">
      <x:c r="A56" s="40" t="s">
        <x:v>80</x:v>
      </x:c>
      <x:c r="B56" s="41"/>
      <x:c r="C56" s="42" t="s">
        <x:v>81</x:v>
      </x:c>
      <x:c r="D56" s="43"/>
    </x:row>
    <x:row r="57" ht="15" customHeight="1">
      <x:c r="A57" s="44" t="s">
        <x:v>82</x:v>
      </x:c>
      <x:c r="B57" s="41"/>
      <x:c r="C57" s="45" t="s">
        <x:v>83</x:v>
      </x:c>
      <x:c r="D57" s="46"/>
    </x:row>
    <x:row r="58" ht="15" customHeight="1">
      <x:c r="A58" s="40" t="s">
        <x:v>84</x:v>
      </x:c>
      <x:c r="B58" s="41"/>
      <x:c r="C58" s="42" t="s">
        <x:v>85</x:v>
      </x:c>
      <x:c r="D58" s="43"/>
    </x:row>
    <x:row r="59" ht="15" customHeight="1">
      <x:c r="A59" s="44" t="s">
        <x:v>86</x:v>
      </x:c>
      <x:c r="B59" s="41"/>
      <x:c r="C59" s="45" t="s">
        <x:v>87</x:v>
      </x:c>
      <x:c r="D59" s="46"/>
    </x:row>
    <x:row r="60" ht="15" customHeight="1">
      <x:c r="A60" s="40"/>
      <x:c r="B60" s="41"/>
      <x:c r="C60" s="42"/>
      <x:c r="D60" s="43"/>
    </x:row>
    <x:row r="61" ht="18" customHeight="1">
      <x:c r="A61" s="149" t="s">
        <x:v>88</x:v>
      </x:c>
      <x:c r="B61" s="150"/>
      <x:c r="C61" s="150"/>
      <x:c r="D61" s="151"/>
    </x:row>
    <x:row r="62" ht="15" customHeight="1">
      <x:c r="A62" s="40" t="s">
        <x:v>89</x:v>
      </x:c>
      <x:c r="B62" s="41"/>
      <x:c r="C62" s="42" t="s">
        <x:v>90</x:v>
      </x:c>
      <x:c r="D62" s="43"/>
    </x:row>
    <x:row r="63" ht="15" customHeight="1">
      <x:c r="A63" s="44" t="s">
        <x:v>91</x:v>
      </x:c>
      <x:c r="B63" s="41"/>
      <x:c r="C63" s="45" t="s">
        <x:v>92</x:v>
      </x:c>
      <x:c r="D63" s="46"/>
    </x:row>
    <x:row r="64" ht="15" customHeight="1">
      <x:c r="A64" s="40" t="s">
        <x:v>93</x:v>
      </x:c>
      <x:c r="B64" s="41"/>
      <x:c r="C64" s="42" t="s">
        <x:v>94</x:v>
      </x:c>
      <x:c r="D64" s="43"/>
    </x:row>
    <x:row r="65" ht="15" customHeight="1">
      <x:c r="A65" s="44" t="s">
        <x:v>95</x:v>
      </x:c>
      <x:c r="B65" s="41"/>
      <x:c r="C65" s="45" t="s">
        <x:v>96</x:v>
      </x:c>
      <x:c r="D65" s="46"/>
    </x:row>
    <x:row r="66" ht="15" customHeight="1">
      <x:c r="A66" s="40" t="s">
        <x:v>97</x:v>
      </x:c>
      <x:c r="B66" s="41"/>
      <x:c r="C66" s="42" t="s">
        <x:v>98</x:v>
      </x:c>
      <x:c r="D66" s="43"/>
    </x:row>
    <x:row r="67" ht="22.049999237060547" customHeight="1">
      <x:c r="A67" s="47" t="s">
        <x:v>99</x:v>
      </x:c>
    </x:row>
    <x:row r="68" ht="18" customHeight="1">
      <x:c r="A68" s="33" t="s">
        <x:v>100</x:v>
      </x:c>
      <x:c r="B68" s="34"/>
      <x:c r="C68" s="35"/>
      <x:c r="D68" s="36" t="str">
        <x:f>IF(B43&lt;&gt;"","✓","—")</x:f>
        <x:v>—</x:v>
      </x:c>
    </x:row>
    <x:row r="69" ht="18" customHeight="1">
      <x:c r="A69" s="33" t="s">
        <x:v>101</x:v>
      </x:c>
      <x:c r="B69" s="34"/>
      <x:c r="C69" s="35"/>
      <x:c r="D69" s="36" t="str">
        <x:f>IF(B44&lt;&gt;"","✓","—")</x:f>
        <x:v>—</x:v>
      </x:c>
    </x:row>
    <x:row r="70" ht="15" customHeight="1">
      <x:c r="A70" s="40" t="s">
        <x:v>102</x:v>
      </x:c>
      <x:c r="B70" s="41"/>
      <x:c r="C70" s="42" t="s">
        <x:v>103</x:v>
      </x:c>
      <x:c r="D70" s="43" t="str">
        <x:f>IF(B45&lt;&gt;"","✓","—")</x:f>
        <x:v>—</x:v>
      </x:c>
    </x:row>
    <x:row r="71" ht="15" customHeight="1">
      <x:c r="A71" s="44" t="s">
        <x:v>104</x:v>
      </x:c>
      <x:c r="B71" s="41"/>
      <x:c r="C71" s="45" t="s">
        <x:v>105</x:v>
      </x:c>
      <x:c r="D71" s="46" t="str">
        <x:f>IF(B46&lt;&gt;"","✓","—")</x:f>
        <x:v>—</x:v>
      </x:c>
    </x:row>
    <x:row r="72" ht="22.049999237060547" customHeight="1">
      <x:c r="A72" s="47" t="s">
        <x:v>106</x:v>
      </x:c>
    </x:row>
    <x:row r="73" ht="18" customHeight="1">
      <x:c r="A73" s="33" t="s">
        <x:v>107</x:v>
      </x:c>
      <x:c r="B73" s="34"/>
      <x:c r="C73" s="35"/>
      <x:c r="D73" s="36" t="str">
        <x:f t="shared" ref="D73:D78" si="3">IF(B48&lt;&gt;"","✓","—")</x:f>
        <x:v>—</x:v>
      </x:c>
    </x:row>
    <x:row r="74" ht="18" customHeight="1">
      <x:c r="A74" s="33" t="s">
        <x:v>108</x:v>
      </x:c>
      <x:c r="B74" s="34"/>
      <x:c r="C74" s="35"/>
      <x:c r="D74" s="36" t="str">
        <x:f t="shared" si="3"/>
        <x:v>—</x:v>
      </x:c>
    </x:row>
    <x:row r="75" ht="15" customHeight="1">
      <x:c r="A75" s="44" t="s">
        <x:v>109</x:v>
      </x:c>
      <x:c r="B75" s="41"/>
      <x:c r="C75" s="45" t="s">
        <x:v>110</x:v>
      </x:c>
      <x:c r="D75" s="46" t="str">
        <x:f t="shared" si="3"/>
        <x:v>—</x:v>
      </x:c>
    </x:row>
    <x:row r="76" ht="15" customHeight="1">
      <x:c r="A76" s="40" t="s">
        <x:v>111</x:v>
      </x:c>
      <x:c r="B76" s="41"/>
      <x:c r="C76" s="42" t="s">
        <x:v>112</x:v>
      </x:c>
      <x:c r="D76" s="43" t="str">
        <x:f t="shared" si="3"/>
        <x:v>—</x:v>
      </x:c>
    </x:row>
    <x:row r="77" ht="15" customHeight="1">
      <x:c r="A77" s="44" t="s">
        <x:v>113</x:v>
      </x:c>
      <x:c r="B77" s="41"/>
      <x:c r="C77" s="45" t="s">
        <x:v>114</x:v>
      </x:c>
      <x:c r="D77" s="46" t="str">
        <x:f t="shared" si="3"/>
        <x:v>—</x:v>
      </x:c>
    </x:row>
    <x:row r="78" ht="15" customHeight="1">
      <x:c r="A78" s="40" t="s">
        <x:v>115</x:v>
      </x:c>
      <x:c r="B78" s="41"/>
      <x:c r="C78" s="42" t="s">
        <x:v>114</x:v>
      </x:c>
      <x:c r="D78" s="43" t="str">
        <x:f t="shared" si="3"/>
        <x:v>—</x:v>
      </x:c>
    </x:row>
    <x:row r="79" ht="18" customHeight="1">
      <x:c r="A79" s="149" t="s">
        <x:v>116</x:v>
      </x:c>
      <x:c r="B79" s="150"/>
      <x:c r="C79" s="150"/>
      <x:c r="D79" s="151"/>
    </x:row>
    <x:row r="80" ht="15" customHeight="1">
      <x:c r="A80" s="40" t="s">
        <x:v>117</x:v>
      </x:c>
      <x:c r="B80" s="41"/>
      <x:c r="C80" s="42" t="s">
        <x:v>118</x:v>
      </x:c>
      <x:c r="D80" s="43" t="str">
        <x:f t="shared" ref="D80:D85" si="4">IF(B55&lt;&gt;"","✓","—")</x:f>
        <x:v>—</x:v>
      </x:c>
    </x:row>
    <x:row r="81" ht="15" customHeight="1">
      <x:c r="A81" s="44" t="s">
        <x:v>119</x:v>
      </x:c>
      <x:c r="B81" s="41"/>
      <x:c r="C81" s="45" t="s">
        <x:v>120</x:v>
      </x:c>
      <x:c r="D81" s="46" t="str">
        <x:f t="shared" si="4"/>
        <x:v>—</x:v>
      </x:c>
    </x:row>
    <x:row r="82" ht="15" customHeight="1">
      <x:c r="A82" s="40" t="s">
        <x:v>121</x:v>
      </x:c>
      <x:c r="B82" s="41"/>
      <x:c r="C82" s="42" t="s">
        <x:v>60</x:v>
      </x:c>
      <x:c r="D82" s="43" t="str">
        <x:f t="shared" si="4"/>
        <x:v>—</x:v>
      </x:c>
    </x:row>
    <x:row r="83" ht="15" customHeight="1">
      <x:c r="A83" s="44" t="s">
        <x:v>122</x:v>
      </x:c>
      <x:c r="B83" s="41"/>
      <x:c r="C83" s="45" t="s">
        <x:v>123</x:v>
      </x:c>
      <x:c r="D83" s="46" t="str">
        <x:f t="shared" si="4"/>
        <x:v>—</x:v>
      </x:c>
    </x:row>
    <x:row r="84" ht="15" customHeight="1">
      <x:c r="A84" s="40" t="s">
        <x:v>124</x:v>
      </x:c>
      <x:c r="B84" s="41"/>
      <x:c r="C84" s="42" t="s">
        <x:v>125</x:v>
      </x:c>
      <x:c r="D84" s="43" t="str">
        <x:f t="shared" si="4"/>
        <x:v>—</x:v>
      </x:c>
    </x:row>
    <x:row r="85" ht="15" customHeight="1">
      <x:c r="A85" s="44" t="s">
        <x:v>126</x:v>
      </x:c>
      <x:c r="B85" s="41"/>
      <x:c r="C85" s="45" t="s">
        <x:v>127</x:v>
      </x:c>
      <x:c r="D85" s="46" t="str">
        <x:f t="shared" si="4"/>
        <x:v>—</x:v>
      </x:c>
    </x:row>
    <x:row r="86" ht="18" customHeight="1">
      <x:c r="A86" s="149" t="s">
        <x:v>128</x:v>
      </x:c>
      <x:c r="B86" s="150"/>
      <x:c r="C86" s="150"/>
      <x:c r="D86" s="151"/>
    </x:row>
    <x:row r="87" ht="15" customHeight="1">
      <x:c r="A87" s="44" t="s">
        <x:v>129</x:v>
      </x:c>
      <x:c r="B87" s="41"/>
      <x:c r="C87" s="45" t="s">
        <x:v>130</x:v>
      </x:c>
      <x:c r="D87" s="46"/>
    </x:row>
    <x:row r="88" ht="15" customHeight="1">
      <x:c r="A88" s="40" t="s">
        <x:v>131</x:v>
      </x:c>
      <x:c r="B88" s="41"/>
      <x:c r="C88" s="42" t="s">
        <x:v>132</x:v>
      </x:c>
      <x:c r="D88" s="43"/>
    </x:row>
    <x:row r="89" ht="13.800000190734863">
      <x:c r="A89" s="33" t="s">
        <x:v>133</x:v>
      </x:c>
      <x:c r="B89" s="34"/>
      <x:c r="C89" s="35"/>
      <x:c r="D89" s="36" t="str">
        <x:f>IF(B62&lt;&gt;"","✓","—")</x:f>
        <x:v>—</x:v>
      </x:c>
    </x:row>
    <x:row r="90" ht="13.800000190734863">
      <x:c r="A90" s="33" t="s">
        <x:v>134</x:v>
      </x:c>
      <x:c r="B90" s="34"/>
      <x:c r="C90" s="35"/>
      <x:c r="D90" s="36" t="str">
        <x:f>IF(B63&lt;&gt;"","✓","—")</x:f>
        <x:v>—</x:v>
      </x:c>
    </x:row>
    <x:row r="91" ht="13.800000190734863">
      <x:c r="A91" s="33" t="s">
        <x:v>135</x:v>
      </x:c>
      <x:c r="B91" s="34"/>
      <x:c r="C91" s="35"/>
      <x:c r="D91" s="36" t="str">
        <x:f>IF(B64&lt;&gt;"","✓","—")</x:f>
        <x:v>—</x:v>
      </x:c>
    </x:row>
    <x:row r="92" ht="13.800000190734863">
      <x:c r="A92" s="33" t="s">
        <x:v>136</x:v>
      </x:c>
      <x:c r="B92" s="34"/>
      <x:c r="C92" s="35"/>
      <x:c r="D92" s="36" t="str">
        <x:f>IF(B65&lt;&gt;"","✓","—")</x:f>
        <x:v>—</x:v>
      </x:c>
    </x:row>
    <x:row r="93" ht="13.800000190734863">
      <x:c r="A93" s="33" t="s">
        <x:v>137</x:v>
      </x:c>
      <x:c r="B93" s="34"/>
      <x:c r="C93" s="35"/>
      <x:c r="D93" s="36" t="str">
        <x:f>IF(B66&lt;&gt;"","✓","—")</x:f>
        <x:v>—</x:v>
      </x:c>
    </x:row>
    <x:row r="94" ht="18" customHeight="1">
      <x:c r="A94" s="149" t="s">
        <x:v>138</x:v>
      </x:c>
      <x:c r="B94" s="150"/>
      <x:c r="C94" s="150"/>
      <x:c r="D94" s="151"/>
    </x:row>
    <x:row r="95" ht="15" customHeight="1">
      <x:c r="A95" s="44" t="s">
        <x:v>139</x:v>
      </x:c>
      <x:c r="B95" s="41"/>
      <x:c r="C95" s="45" t="s">
        <x:v>140</x:v>
      </x:c>
      <x:c r="D95" s="46" t="str">
        <x:f>IF(B68&lt;&gt;"","✓","—")</x:f>
        <x:v>—</x:v>
      </x:c>
    </x:row>
    <x:row r="96" ht="15" customHeight="1">
      <x:c r="A96" s="40" t="s">
        <x:v>141</x:v>
      </x:c>
      <x:c r="B96" s="41"/>
      <x:c r="C96" s="42" t="s">
        <x:v>142</x:v>
      </x:c>
      <x:c r="D96" s="43" t="str">
        <x:f>IF(B69&lt;&gt;"","✓","—")</x:f>
        <x:v>—</x:v>
      </x:c>
    </x:row>
    <x:row r="97" ht="15" customHeight="1">
      <x:c r="A97" s="44" t="s">
        <x:v>143</x:v>
      </x:c>
      <x:c r="B97" s="41"/>
      <x:c r="C97" s="45" t="s">
        <x:v>144</x:v>
      </x:c>
      <x:c r="D97" s="46" t="str">
        <x:f>IF(B70&lt;&gt;"","✓","—")</x:f>
        <x:v>—</x:v>
      </x:c>
    </x:row>
    <x:row r="98" ht="15" customHeight="1">
      <x:c r="A98" s="40" t="s">
        <x:v>145</x:v>
      </x:c>
      <x:c r="B98" s="41"/>
      <x:c r="C98" s="42" t="s">
        <x:v>146</x:v>
      </x:c>
      <x:c r="D98" s="43" t="str">
        <x:f>IF(B71&lt;&gt;"","✓","—")</x:f>
        <x:v>—</x:v>
      </x:c>
    </x:row>
    <x:row r="99" ht="18" customHeight="1">
      <x:c r="A99" s="149" t="s">
        <x:v>147</x:v>
      </x:c>
      <x:c r="B99" s="150"/>
      <x:c r="C99" s="150"/>
      <x:c r="D99" s="151"/>
    </x:row>
    <x:row r="100" ht="15" customHeight="1">
      <x:c r="A100" s="40" t="s">
        <x:v>148</x:v>
      </x:c>
      <x:c r="B100" s="41"/>
      <x:c r="C100" s="42" t="str">
        <x:v>e.g. INV-DEMO-001</x:v>
      </x:c>
      <x:c r="D100" s="43" t="str">
        <x:f t="shared" ref="D100:D108" si="5">IF(B73&lt;&gt;"","✓","—")</x:f>
        <x:v>—</x:v>
      </x:c>
    </x:row>
    <x:row r="101" ht="15" customHeight="1">
      <x:c r="A101" s="44" t="s">
        <x:v>149</x:v>
      </x:c>
      <x:c r="B101" s="41"/>
      <x:c r="C101" s="45" t="s">
        <x:v>15</x:v>
      </x:c>
      <x:c r="D101" s="46" t="str">
        <x:f t="shared" si="5"/>
        <x:v>—</x:v>
      </x:c>
    </x:row>
    <x:row r="102" ht="15" customHeight="1">
      <x:c r="A102" s="40" t="s">
        <x:v>150</x:v>
      </x:c>
      <x:c r="B102" s="41"/>
      <x:c r="C102" s="42" t="s">
        <x:v>151</x:v>
      </x:c>
      <x:c r="D102" s="43" t="str">
        <x:f t="shared" si="5"/>
        <x:v>—</x:v>
      </x:c>
    </x:row>
    <x:row r="103" ht="15" customHeight="1">
      <x:c r="A103" s="44" t="s">
        <x:v>152</x:v>
      </x:c>
      <x:c r="B103" s="41"/>
      <x:c r="C103" s="45" t="s">
        <x:v>153</x:v>
      </x:c>
      <x:c r="D103" s="46" t="str">
        <x:f t="shared" si="5"/>
        <x:v>—</x:v>
      </x:c>
    </x:row>
    <x:row r="104" ht="15" customHeight="1">
      <x:c r="A104" s="40" t="s">
        <x:v>154</x:v>
      </x:c>
      <x:c r="B104" s="41"/>
      <x:c r="C104" s="42" t="s">
        <x:v>155</x:v>
      </x:c>
      <x:c r="D104" s="43" t="str">
        <x:f t="shared" si="5"/>
        <x:v>—</x:v>
      </x:c>
    </x:row>
    <x:row r="105" ht="15" customHeight="1">
      <x:c r="A105" s="44" t="s">
        <x:v>156</x:v>
      </x:c>
      <x:c r="B105" s="41"/>
      <x:c r="C105" s="45" t="s">
        <x:v>50</x:v>
      </x:c>
      <x:c r="D105" s="46" t="str">
        <x:f t="shared" si="5"/>
        <x:v>—</x:v>
      </x:c>
    </x:row>
    <x:row r="106" ht="15" customHeight="1">
      <x:c r="A106" s="40" t="s">
        <x:v>157</x:v>
      </x:c>
      <x:c r="B106" s="41"/>
      <x:c r="C106" s="42" t="s">
        <x:v>50</x:v>
      </x:c>
      <x:c r="D106" s="43" t="str">
        <x:f t="shared" si="5"/>
        <x:v>—</x:v>
      </x:c>
    </x:row>
    <x:row r="107" ht="15" customHeight="1">
      <x:c r="A107" s="44" t="s">
        <x:v>158</x:v>
      </x:c>
      <x:c r="B107" s="41"/>
      <x:c r="C107" s="45" t="s">
        <x:v>159</x:v>
      </x:c>
      <x:c r="D107" s="46" t="str">
        <x:f t="shared" si="5"/>
        <x:v>—</x:v>
      </x:c>
    </x:row>
    <x:row r="108" ht="15" customHeight="1">
      <x:c r="A108" s="40" t="s">
        <x:v>160</x:v>
      </x:c>
      <x:c r="B108" s="41"/>
      <x:c r="C108" s="42" t="s">
        <x:v>161</x:v>
      </x:c>
      <x:c r="D108" s="43" t="str">
        <x:f t="shared" si="5"/>
        <x:v>—</x:v>
      </x:c>
    </x:row>
  </x:sheetData>
  <x:mergeCells>
    <x:mergeCell ref="A99:D99"/>
    <x:mergeCell ref="A28:D28"/>
    <x:mergeCell ref="A94:D94"/>
    <x:mergeCell ref="A1:D1"/>
    <x:mergeCell ref="A5:D5"/>
    <x:mergeCell ref="A79:D79"/>
    <x:mergeCell ref="A61:D61"/>
    <x:mergeCell ref="A42:D42"/>
    <x:mergeCell ref="A53:D53"/>
    <x:mergeCell ref="A12:D12"/>
    <x:mergeCell ref="A4:D4"/>
    <x:mergeCell ref="A3:D3"/>
    <x:mergeCell ref="A86:D86"/>
    <x:mergeCell ref="A29:D29"/>
    <x:mergeCell ref="A19:D19"/>
  </x:mergeCells>
  <x:dataValidations count="1">
    <x:dataValidation type="list" allowBlank="1" sqref="B42:B44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6640625" defaultRowHeight="13.199999809265137"/>
  <x:cols>
    <x:col min="1" max="1" width="2" customWidth="1"/>
    <x:col min="2" max="2" width="9" customWidth="1"/>
    <x:col min="3" max="3" width="13" customWidth="1"/>
    <x:col min="4" max="4" width="16" customWidth="1"/>
    <x:col min="5" max="5" width="13" customWidth="1"/>
    <x:col min="6" max="6" width="12" customWidth="1"/>
    <x:col min="7" max="9" width="10" customWidth="1"/>
    <x:col min="10" max="10" width="11" customWidth="1"/>
    <x:col min="11" max="11" width="10" customWidth="1"/>
    <x:col min="12" max="12" width="13" customWidth="1"/>
  </x:cols>
  <x:sheetData>
    <x:row r="2" ht="19.5" customHeight="1">
      <x:c r="B2" s="152" t="s">
        <x:v>162</x:v>
      </x:c>
      <x:c r="C2" s="153"/>
      <x:c r="D2" s="153"/>
      <x:c r="E2" s="153"/>
      <x:c r="F2" s="153"/>
      <x:c r="G2" s="153"/>
      <x:c r="H2" s="153"/>
    </x:row>
    <x:row r="3" ht="28.049999237060547" customHeight="1">
      <x:c r="B3" s="2" t="s">
        <x:v>163</x:v>
      </x:c>
      <x:c r="C3" s="2" t="s">
        <x:v>164</x:v>
      </x:c>
      <x:c r="D3" s="2" t="s">
        <x:v>165</x:v>
      </x:c>
      <x:c r="E3" s="2" t="s">
        <x:v>166</x:v>
      </x:c>
      <x:c r="F3" s="2" t="s">
        <x:v>167</x:v>
      </x:c>
      <x:c r="G3" s="2" t="s">
        <x:v>168</x:v>
      </x:c>
      <x:c r="H3" s="2" t="s">
        <x:v>169</x:v>
      </x:c>
      <x:c r="I3" s="164" t="s">
        <x:v>170</x:v>
      </x:c>
      <x:c r="J3" s="164" t="s">
        <x:v>171</x:v>
      </x:c>
      <x:c r="K3" s="164" t="s">
        <x:v>172</x:v>
      </x:c>
      <x:c r="L3" s="164" t="s">
        <x:v>173</x:v>
      </x:c>
    </x:row>
    <x:row r="4" ht="15" customHeight="1">
      <x:c r="B4" s="40"/>
      <x:c r="C4" s="40"/>
      <x:c r="D4" s="128"/>
      <x:c r="E4" s="129"/>
      <x:c r="F4" s="40"/>
      <x:c r="G4" s="40"/>
      <x:c r="H4" s="40"/>
      <x:c r="I4" s="147"/>
      <x:c r="J4" s="147"/>
      <x:c r="K4" s="148"/>
      <x:c r="L4" s="147"/>
      <x:c r="M4" s="40"/>
      <x:c r="N4" s="40"/>
      <x:c r="O4" s="40"/>
      <x:c r="P4" s="40"/>
      <x:c r="Q4" s="40"/>
    </x:row>
    <x:row r="5" ht="6" customHeight="1"/>
    <x:row r="6" ht="6" customHeight="1"/>
    <x:row r="7" ht="19.5" customHeight="1">
      <x:c r="B7" s="152" t="s">
        <x:v>174</x:v>
      </x:c>
      <x:c r="C7" s="153"/>
      <x:c r="D7" s="153"/>
      <x:c r="E7" s="153"/>
      <x:c r="F7" s="153"/>
      <x:c r="G7" s="153"/>
      <x:c r="H7" s="153"/>
      <x:c r="I7" s="153"/>
      <x:c r="J7" s="153"/>
      <x:c r="K7" s="153"/>
      <x:c r="L7" s="153"/>
    </x:row>
    <x:row r="8" ht="30" customHeight="1">
      <x:c r="B8" s="3" t="s">
        <x:v>175</x:v>
      </x:c>
      <x:c r="C8" s="3" t="s">
        <x:v>176</x:v>
      </x:c>
      <x:c r="D8" s="3" t="s">
        <x:v>177</x:v>
      </x:c>
      <x:c r="E8" s="3" t="s">
        <x:v>178</x:v>
      </x:c>
      <x:c r="F8" s="3" t="s">
        <x:v>165</x:v>
      </x:c>
      <x:c r="G8" s="3" t="s">
        <x:v>179</x:v>
      </x:c>
      <x:c r="H8" s="3" t="s">
        <x:v>180</x:v>
      </x:c>
      <x:c r="I8" s="3" t="s">
        <x:v>181</x:v>
      </x:c>
      <x:c r="J8" s="3" t="s">
        <x:v>172</x:v>
      </x:c>
      <x:c r="K8" s="3" t="s">
        <x:v>173</x:v>
      </x:c>
      <x:c r="L8" s="3" t="s">
        <x:v>166</x:v>
      </x:c>
    </x:row>
    <x:row r="9" ht="15" customHeight="1">
      <x:c r="B9" s="40">
        <x:v>1</x:v>
      </x:c>
      <x:c r="C9" s="130"/>
      <x:c r="D9" s="40"/>
      <x:c r="E9" s="131"/>
      <x:c r="F9" s="128"/>
      <x:c r="G9" s="132" t="e">
        <x:f t="shared" ref="G9:G15" si="0">E9/F9</x:f>
      </x:c>
      <x:c r="H9" s="133"/>
      <x:c r="I9" s="132"/>
      <x:c r="J9" s="129"/>
      <x:c r="K9" s="134"/>
      <x:c r="L9" s="129"/>
      <x:c r="M9" s="161"/>
      <x:c r="N9" s="161"/>
      <x:c r="O9" s="161"/>
      <x:c r="P9" s="161"/>
      <x:c r="Q9" s="161"/>
    </x:row>
    <x:row r="10" ht="15" customHeight="1">
      <x:c r="B10" s="44">
        <x:v>2</x:v>
      </x:c>
      <x:c r="C10" s="135"/>
      <x:c r="D10" s="44"/>
      <x:c r="E10" s="136"/>
      <x:c r="F10" s="137"/>
      <x:c r="G10" s="138" t="e">
        <x:f t="shared" si="0"/>
      </x:c>
      <x:c r="H10" s="139"/>
      <x:c r="I10" s="138"/>
      <x:c r="J10" s="140"/>
      <x:c r="K10" s="141"/>
      <x:c r="L10" s="140"/>
      <x:c r="M10" s="161"/>
      <x:c r="N10" s="161"/>
      <x:c r="O10" s="161"/>
      <x:c r="P10" s="161"/>
      <x:c r="Q10" s="161"/>
    </x:row>
    <x:row r="11" ht="15" customHeight="1">
      <x:c r="B11" s="40">
        <x:v>3</x:v>
      </x:c>
      <x:c r="C11" s="130"/>
      <x:c r="D11" s="40"/>
      <x:c r="E11" s="131"/>
      <x:c r="F11" s="128"/>
      <x:c r="G11" s="132" t="e">
        <x:f t="shared" si="0"/>
      </x:c>
      <x:c r="H11" s="142"/>
      <x:c r="I11" s="142"/>
      <x:c r="J11" s="129"/>
      <x:c r="K11" s="134"/>
      <x:c r="L11" s="129"/>
      <x:c r="M11" s="161"/>
      <x:c r="N11" s="161"/>
      <x:c r="O11" s="161"/>
      <x:c r="P11" s="161"/>
      <x:c r="Q11" s="161"/>
    </x:row>
    <x:row r="12" ht="15" customHeight="1">
      <x:c r="B12" s="44">
        <x:v>4</x:v>
      </x:c>
      <x:c r="C12" s="135"/>
      <x:c r="D12" s="44"/>
      <x:c r="E12" s="136"/>
      <x:c r="F12" s="137"/>
      <x:c r="G12" s="138" t="e">
        <x:f t="shared" si="0"/>
      </x:c>
      <x:c r="H12" s="139"/>
      <x:c r="I12" s="138"/>
      <x:c r="J12" s="140"/>
      <x:c r="K12" s="141"/>
      <x:c r="L12" s="140"/>
      <x:c r="M12" s="161"/>
      <x:c r="N12" s="161"/>
      <x:c r="O12" s="161"/>
      <x:c r="P12" s="161"/>
      <x:c r="Q12" s="161"/>
    </x:row>
    <x:row r="13" ht="15" customHeight="1">
      <x:c r="B13" s="40">
        <x:v>5</x:v>
      </x:c>
      <x:c r="C13" s="130"/>
      <x:c r="D13" s="40"/>
      <x:c r="E13" s="131"/>
      <x:c r="F13" s="128"/>
      <x:c r="G13" s="132" t="e">
        <x:f t="shared" si="0"/>
      </x:c>
      <x:c r="H13" s="133"/>
      <x:c r="I13" s="132"/>
      <x:c r="J13" s="129"/>
      <x:c r="K13" s="134"/>
      <x:c r="L13" s="129"/>
      <x:c r="M13" s="161"/>
      <x:c r="N13" s="161"/>
      <x:c r="O13" s="161"/>
      <x:c r="P13" s="161"/>
      <x:c r="Q13" s="161"/>
    </x:row>
    <x:row r="14" ht="15" customHeight="1">
      <x:c r="B14" s="44">
        <x:v>6</x:v>
      </x:c>
      <x:c r="C14" s="135"/>
      <x:c r="D14" s="44"/>
      <x:c r="E14" s="136"/>
      <x:c r="F14" s="137"/>
      <x:c r="G14" s="138" t="e">
        <x:f t="shared" si="0"/>
      </x:c>
      <x:c r="H14" s="143"/>
      <x:c r="I14" s="143"/>
      <x:c r="J14" s="140"/>
      <x:c r="K14" s="141"/>
      <x:c r="L14" s="140"/>
      <x:c r="M14" s="161"/>
      <x:c r="N14" s="161"/>
      <x:c r="O14" s="161"/>
      <x:c r="P14" s="161"/>
      <x:c r="Q14" s="161"/>
    </x:row>
    <x:row r="15" ht="15" customHeight="1">
      <x:c r="B15" s="40">
        <x:v>7</x:v>
      </x:c>
      <x:c r="C15" s="130"/>
      <x:c r="D15" s="40"/>
      <x:c r="E15" s="131"/>
      <x:c r="F15" s="128"/>
      <x:c r="G15" s="132" t="e">
        <x:f t="shared" si="0"/>
      </x:c>
      <x:c r="H15" s="142"/>
      <x:c r="I15" s="142"/>
      <x:c r="J15" s="129"/>
      <x:c r="K15" s="134"/>
      <x:c r="L15" s="129"/>
      <x:c r="M15" s="161"/>
      <x:c r="N15" s="161"/>
      <x:c r="O15" s="161"/>
      <x:c r="P15" s="161"/>
      <x:c r="Q15" s="161"/>
    </x:row>
    <x:row r="16" ht="6" customHeight="1">
      <x:c r="M16" s="162"/>
      <x:c r="N16" s="162"/>
      <x:c r="O16" s="162"/>
      <x:c r="P16" s="162"/>
      <x:c r="Q16" s="162"/>
    </x:row>
    <x:row r="17" ht="6" customHeight="1">
      <x:c r="M17" s="162"/>
      <x:c r="N17" s="162"/>
      <x:c r="O17" s="162"/>
      <x:c r="P17" s="162"/>
      <x:c r="Q17" s="162"/>
    </x:row>
    <x:row r="18" ht="19.5" customHeight="1">
      <x:c r="B18" s="152" t="s">
        <x:v>182</x:v>
      </x:c>
      <x:c r="C18" s="153"/>
      <x:c r="D18" s="153"/>
      <x:c r="E18" s="153"/>
      <x:c r="F18" s="153"/>
      <x:c r="G18" s="153"/>
      <x:c r="H18" s="153"/>
      <x:c r="I18" s="153"/>
      <x:c r="J18" s="153"/>
      <x:c r="M18" s="162"/>
      <x:c r="N18" s="162"/>
      <x:c r="O18" s="162"/>
      <x:c r="P18" s="162"/>
      <x:c r="Q18" s="162"/>
    </x:row>
    <x:row r="19" ht="30" customHeight="1">
      <x:c r="B19" s="3" t="s">
        <x:v>175</x:v>
      </x:c>
      <x:c r="C19" s="3" t="s">
        <x:v>183</x:v>
      </x:c>
      <x:c r="D19" s="3" t="s">
        <x:v>184</x:v>
      </x:c>
      <x:c r="E19" s="3" t="s">
        <x:v>185</x:v>
      </x:c>
      <x:c r="F19" s="3" t="s">
        <x:v>186</x:v>
      </x:c>
      <x:c r="G19" s="3" t="s">
        <x:v>187</x:v>
      </x:c>
      <x:c r="H19" s="3" t="s">
        <x:v>188</x:v>
      </x:c>
      <x:c r="I19" s="3" t="s">
        <x:v>189</x:v>
      </x:c>
      <x:c r="J19" s="3" t="s">
        <x:v>190</x:v>
      </x:c>
      <x:c r="M19" s="162"/>
      <x:c r="N19" s="162"/>
      <x:c r="O19" s="162"/>
      <x:c r="P19" s="162"/>
      <x:c r="Q19" s="162"/>
    </x:row>
    <x:row r="20" ht="15" customHeight="1">
      <x:c r="B20" s="40" t="n">
        <x:f t="shared" ref="B20:B26" si="1">B9</x:f>
        <x:v>1</x:v>
      </x:c>
      <x:c r="C20" s="132" t="e">
        <x:f t="shared" ref="C20:C26" si="2">G9</x:f>
      </x:c>
      <x:c r="D20" s="133">
        <x:v>0</x:v>
      </x:c>
      <x:c r="E20" s="132" t="e">
        <x:f t="shared" ref="E20:E26" si="3">C20*(1+D20)</x:f>
      </x:c>
      <x:c r="F20" s="128" t="n">
        <x:f t="shared" ref="F20:F26" si="4">F9</x:f>
        <x:v>0</x:v>
      </x:c>
      <x:c r="G20" s="133">
        <x:v>0</x:v>
      </x:c>
      <x:c r="H20" s="133">
        <x:v>0</x:v>
      </x:c>
      <x:c r="I20" s="133" t="n">
        <x:f t="shared" ref="I20:I26" si="5">G20+H20</x:f>
        <x:v>0</x:v>
      </x:c>
      <x:c r="J20" s="132" t="e">
        <x:f t="shared" ref="J20:J26" si="6">ROUND(E20*(1+I20),2)</x:f>
      </x:c>
      <x:c r="K20" s="40"/>
      <x:c r="L20" s="40"/>
      <x:c r="M20" s="161"/>
      <x:c r="N20" s="161"/>
      <x:c r="O20" s="161"/>
      <x:c r="P20" s="161"/>
      <x:c r="Q20" s="161"/>
    </x:row>
    <x:row r="21" ht="15" customHeight="1">
      <x:c r="B21" s="44">
        <x:f t="shared" si="1"/>
        <x:v>2</x:v>
      </x:c>
      <x:c r="C21" s="138" t="e">
        <x:f t="shared" si="2"/>
      </x:c>
      <x:c r="D21" s="139">
        <x:v>0</x:v>
      </x:c>
      <x:c r="E21" s="138" t="e">
        <x:f t="shared" si="3"/>
      </x:c>
      <x:c r="F21" s="137">
        <x:f t="shared" si="4"/>
        <x:v>0</x:v>
      </x:c>
      <x:c r="G21" s="139">
        <x:v>0</x:v>
      </x:c>
      <x:c r="H21" s="139">
        <x:v>0</x:v>
      </x:c>
      <x:c r="I21" s="139">
        <x:f t="shared" si="5"/>
        <x:v>0</x:v>
      </x:c>
      <x:c r="J21" s="138" t="e">
        <x:f t="shared" si="6"/>
      </x:c>
      <x:c r="K21" s="161"/>
      <x:c r="L21" s="161"/>
      <x:c r="M21" s="161"/>
      <x:c r="N21" s="161"/>
      <x:c r="O21" s="161"/>
      <x:c r="P21" s="161"/>
      <x:c r="Q21" s="161"/>
    </x:row>
    <x:row r="22" ht="15" customHeight="1">
      <x:c r="B22" s="40">
        <x:f t="shared" si="1"/>
        <x:v>3</x:v>
      </x:c>
      <x:c r="C22" s="132" t="e">
        <x:f t="shared" si="2"/>
      </x:c>
      <x:c r="D22" s="133">
        <x:v>0</x:v>
      </x:c>
      <x:c r="E22" s="132" t="e">
        <x:f t="shared" si="3"/>
      </x:c>
      <x:c r="F22" s="128">
        <x:f t="shared" si="4"/>
        <x:v>0</x:v>
      </x:c>
      <x:c r="G22" s="133">
        <x:v>0</x:v>
      </x:c>
      <x:c r="H22" s="133">
        <x:v>0</x:v>
      </x:c>
      <x:c r="I22" s="133">
        <x:f t="shared" si="5"/>
        <x:v>0</x:v>
      </x:c>
      <x:c r="J22" s="132" t="e">
        <x:f t="shared" si="6"/>
      </x:c>
      <x:c r="K22" s="161"/>
      <x:c r="L22" s="161"/>
      <x:c r="M22" s="161"/>
      <x:c r="N22" s="161"/>
      <x:c r="O22" s="161"/>
      <x:c r="P22" s="161"/>
      <x:c r="Q22" s="161"/>
    </x:row>
    <x:row r="23" ht="15" customHeight="1">
      <x:c r="B23" s="44">
        <x:f t="shared" si="1"/>
        <x:v>4</x:v>
      </x:c>
      <x:c r="C23" s="138" t="e">
        <x:f t="shared" si="2"/>
      </x:c>
      <x:c r="D23" s="139">
        <x:v>0</x:v>
      </x:c>
      <x:c r="E23" s="138" t="e">
        <x:f t="shared" si="3"/>
      </x:c>
      <x:c r="F23" s="137">
        <x:f t="shared" si="4"/>
        <x:v>0</x:v>
      </x:c>
      <x:c r="G23" s="139">
        <x:v>0</x:v>
      </x:c>
      <x:c r="H23" s="139">
        <x:v>0</x:v>
      </x:c>
      <x:c r="I23" s="139">
        <x:f t="shared" si="5"/>
        <x:v>0</x:v>
      </x:c>
      <x:c r="J23" s="138" t="e">
        <x:f t="shared" si="6"/>
      </x:c>
      <x:c r="K23" s="161"/>
      <x:c r="L23" s="161"/>
      <x:c r="M23" s="161"/>
      <x:c r="N23" s="161"/>
      <x:c r="O23" s="161"/>
      <x:c r="P23" s="161"/>
      <x:c r="Q23" s="161"/>
    </x:row>
    <x:row r="24" ht="15" customHeight="1">
      <x:c r="B24" s="40">
        <x:f t="shared" si="1"/>
        <x:v>5</x:v>
      </x:c>
      <x:c r="C24" s="132" t="e">
        <x:f t="shared" si="2"/>
      </x:c>
      <x:c r="D24" s="133">
        <x:v>0</x:v>
      </x:c>
      <x:c r="E24" s="132" t="e">
        <x:f t="shared" si="3"/>
      </x:c>
      <x:c r="F24" s="128">
        <x:f t="shared" si="4"/>
        <x:v>0</x:v>
      </x:c>
      <x:c r="G24" s="133">
        <x:v>0</x:v>
      </x:c>
      <x:c r="H24" s="133">
        <x:v>0</x:v>
      </x:c>
      <x:c r="I24" s="133">
        <x:f t="shared" si="5"/>
        <x:v>0</x:v>
      </x:c>
      <x:c r="J24" s="132" t="e">
        <x:f t="shared" si="6"/>
      </x:c>
      <x:c r="K24" s="161"/>
      <x:c r="L24" s="161"/>
      <x:c r="M24" s="161"/>
      <x:c r="N24" s="161"/>
      <x:c r="O24" s="161"/>
      <x:c r="P24" s="161"/>
      <x:c r="Q24" s="161"/>
    </x:row>
    <x:row r="25" ht="15" customHeight="1">
      <x:c r="B25" s="44">
        <x:f t="shared" si="1"/>
        <x:v>6</x:v>
      </x:c>
      <x:c r="C25" s="138" t="e">
        <x:f t="shared" si="2"/>
      </x:c>
      <x:c r="D25" s="139">
        <x:v>0</x:v>
      </x:c>
      <x:c r="E25" s="138" t="e">
        <x:f t="shared" si="3"/>
      </x:c>
      <x:c r="F25" s="137">
        <x:f t="shared" si="4"/>
        <x:v>0</x:v>
      </x:c>
      <x:c r="G25" s="139">
        <x:v>0</x:v>
      </x:c>
      <x:c r="H25" s="139">
        <x:v>0</x:v>
      </x:c>
      <x:c r="I25" s="139">
        <x:f t="shared" si="5"/>
        <x:v>0</x:v>
      </x:c>
      <x:c r="J25" s="138" t="e">
        <x:f t="shared" si="6"/>
      </x:c>
      <x:c r="K25" s="161"/>
      <x:c r="L25" s="161"/>
      <x:c r="M25" s="161"/>
      <x:c r="N25" s="161"/>
      <x:c r="O25" s="161"/>
      <x:c r="P25" s="161"/>
      <x:c r="Q25" s="161"/>
    </x:row>
    <x:row r="26" ht="15" customHeight="1">
      <x:c r="B26" s="40">
        <x:f t="shared" si="1"/>
        <x:v>7</x:v>
      </x:c>
      <x:c r="C26" s="132" t="e">
        <x:f t="shared" si="2"/>
      </x:c>
      <x:c r="D26" s="133">
        <x:v>0</x:v>
      </x:c>
      <x:c r="E26" s="132" t="e">
        <x:f t="shared" si="3"/>
      </x:c>
      <x:c r="F26" s="128">
        <x:f t="shared" si="4"/>
        <x:v>0</x:v>
      </x:c>
      <x:c r="G26" s="133">
        <x:v>0</x:v>
      </x:c>
      <x:c r="H26" s="133">
        <x:v>0</x:v>
      </x:c>
      <x:c r="I26" s="133">
        <x:f t="shared" si="5"/>
        <x:v>0</x:v>
      </x:c>
      <x:c r="J26" s="132" t="e">
        <x:f t="shared" si="6"/>
      </x:c>
      <x:c r="K26" s="161"/>
      <x:c r="L26" s="161"/>
      <x:c r="M26" s="161"/>
      <x:c r="N26" s="161"/>
      <x:c r="O26" s="161"/>
      <x:c r="P26" s="161"/>
      <x:c r="Q26" s="161"/>
    </x:row>
    <x:row r="27" ht="6" customHeight="1">
      <x:c r="K27" s="162"/>
      <x:c r="L27" s="162"/>
      <x:c r="M27" s="162"/>
      <x:c r="N27" s="162"/>
      <x:c r="O27" s="162"/>
      <x:c r="P27" s="162"/>
      <x:c r="Q27" s="162"/>
    </x:row>
    <x:row r="28" ht="6" customHeight="1">
      <x:c r="K28" s="162"/>
      <x:c r="L28" s="162"/>
      <x:c r="M28" s="162"/>
      <x:c r="N28" s="162"/>
      <x:c r="O28" s="162"/>
      <x:c r="P28" s="162"/>
      <x:c r="Q28" s="162"/>
    </x:row>
    <x:row r="29" ht="19.5" customHeight="1">
      <x:c r="B29" s="152" t="s">
        <x:v>191</x:v>
      </x:c>
      <x:c r="C29" s="153"/>
      <x:c r="D29" s="153"/>
      <x:c r="E29" s="153"/>
      <x:c r="K29" s="162"/>
      <x:c r="L29" s="162"/>
      <x:c r="M29" s="162"/>
      <x:c r="N29" s="162"/>
      <x:c r="O29" s="162"/>
      <x:c r="P29" s="162"/>
      <x:c r="Q29" s="162"/>
    </x:row>
    <x:row r="30" ht="15" customHeight="1">
      <x:c r="B30" s="2" t="s">
        <x:v>175</x:v>
      </x:c>
      <x:c r="C30" s="2" t="s">
        <x:v>177</x:v>
      </x:c>
      <x:c r="D30" s="2" t="s">
        <x:v>192</x:v>
      </x:c>
      <x:c r="E30" s="2" t="s">
        <x:v>171</x:v>
      </x:c>
      <x:c r="K30" s="162"/>
      <x:c r="L30" s="162"/>
      <x:c r="M30" s="162"/>
      <x:c r="N30" s="162"/>
      <x:c r="O30" s="162"/>
      <x:c r="P30" s="162"/>
      <x:c r="Q30" s="162"/>
    </x:row>
    <x:row r="31" ht="15" customHeight="1">
      <x:c r="B31" s="40">
        <x:v>1</x:v>
      </x:c>
      <x:c r="C31" s="40"/>
      <x:c r="D31" s="131"/>
      <x:c r="E31" s="128"/>
      <x:c r="F31" s="40"/>
      <x:c r="G31" s="40"/>
      <x:c r="H31" s="40"/>
      <x:c r="I31" s="40"/>
      <x:c r="J31" s="40"/>
      <x:c r="K31" s="161"/>
      <x:c r="L31" s="161"/>
      <x:c r="M31" s="161"/>
      <x:c r="N31" s="161"/>
      <x:c r="O31" s="161"/>
      <x:c r="P31" s="161"/>
      <x:c r="Q31" s="161"/>
    </x:row>
    <x:row r="32" ht="15" customHeight="1">
      <x:c r="B32" s="44">
        <x:v>2</x:v>
      </x:c>
      <x:c r="C32" s="44"/>
      <x:c r="D32" s="136"/>
      <x:c r="E32" s="137"/>
      <x:c r="F32" s="161"/>
      <x:c r="G32" s="161"/>
      <x:c r="H32" s="161"/>
      <x:c r="I32" s="161"/>
      <x:c r="J32" s="161"/>
      <x:c r="K32" s="161"/>
      <x:c r="L32" s="161"/>
      <x:c r="M32" s="161"/>
      <x:c r="N32" s="161"/>
      <x:c r="O32" s="161"/>
      <x:c r="P32" s="161"/>
      <x:c r="Q32" s="161"/>
    </x:row>
    <x:row r="33" ht="15" customHeight="1">
      <x:c r="B33" s="40">
        <x:v>3</x:v>
      </x:c>
      <x:c r="C33" s="40"/>
      <x:c r="D33" s="131"/>
      <x:c r="E33" s="128"/>
      <x:c r="F33" s="161"/>
      <x:c r="G33" s="161"/>
      <x:c r="H33" s="161"/>
      <x:c r="I33" s="161"/>
      <x:c r="J33" s="161"/>
      <x:c r="K33" s="161"/>
      <x:c r="L33" s="161"/>
      <x:c r="M33" s="161"/>
      <x:c r="N33" s="161"/>
      <x:c r="O33" s="161"/>
      <x:c r="P33" s="161"/>
      <x:c r="Q33" s="161"/>
    </x:row>
    <x:row r="34" ht="15" customHeight="1">
      <x:c r="B34" s="44">
        <x:v>4</x:v>
      </x:c>
      <x:c r="C34" s="44"/>
      <x:c r="D34" s="136"/>
      <x:c r="E34" s="137"/>
      <x:c r="F34" s="161"/>
      <x:c r="G34" s="161"/>
      <x:c r="H34" s="161"/>
      <x:c r="I34" s="161"/>
      <x:c r="J34" s="161"/>
      <x:c r="K34" s="161"/>
      <x:c r="L34" s="161"/>
      <x:c r="M34" s="161"/>
      <x:c r="N34" s="161"/>
      <x:c r="O34" s="161"/>
      <x:c r="P34" s="161"/>
      <x:c r="Q34" s="161"/>
    </x:row>
    <x:row r="35" ht="15" customHeight="1">
      <x:c r="B35" s="40">
        <x:v>5</x:v>
      </x:c>
      <x:c r="C35" s="40"/>
      <x:c r="D35" s="131"/>
      <x:c r="E35" s="128"/>
      <x:c r="F35" s="161"/>
      <x:c r="G35" s="161"/>
      <x:c r="H35" s="161"/>
      <x:c r="I35" s="161"/>
      <x:c r="J35" s="161"/>
      <x:c r="K35" s="161"/>
      <x:c r="L35" s="161"/>
      <x:c r="M35" s="161"/>
      <x:c r="N35" s="161"/>
      <x:c r="O35" s="161"/>
      <x:c r="P35" s="161"/>
      <x:c r="Q35" s="161"/>
    </x:row>
    <x:row r="36" ht="15" customHeight="1">
      <x:c r="B36" s="44">
        <x:v>6</x:v>
      </x:c>
      <x:c r="C36" s="44"/>
      <x:c r="D36" s="136"/>
      <x:c r="E36" s="137"/>
      <x:c r="F36" s="161"/>
      <x:c r="G36" s="161"/>
      <x:c r="H36" s="161"/>
      <x:c r="I36" s="161"/>
      <x:c r="J36" s="161"/>
      <x:c r="K36" s="161"/>
      <x:c r="L36" s="161"/>
      <x:c r="M36" s="161"/>
      <x:c r="N36" s="161"/>
      <x:c r="O36" s="161"/>
      <x:c r="P36" s="161"/>
      <x:c r="Q36" s="161"/>
    </x:row>
    <x:row r="37" ht="15" customHeight="1">
      <x:c r="B37" s="40">
        <x:v>7</x:v>
      </x:c>
      <x:c r="C37" s="40"/>
      <x:c r="D37" s="131"/>
      <x:c r="E37" s="128"/>
      <x:c r="F37" s="161"/>
      <x:c r="G37" s="161"/>
      <x:c r="H37" s="161"/>
      <x:c r="I37" s="161"/>
      <x:c r="J37" s="161"/>
      <x:c r="K37" s="161"/>
      <x:c r="L37" s="161"/>
      <x:c r="M37" s="161"/>
      <x:c r="N37" s="161"/>
      <x:c r="O37" s="161"/>
      <x:c r="P37" s="161"/>
      <x:c r="Q37" s="161"/>
    </x:row>
    <x:row r="38" ht="15" customHeight="1">
      <x:c r="B38" s="168" t="s">
        <x:v>193</x:v>
      </x:c>
      <x:c r="C38" s="169"/>
      <x:c r="D38" s="170" t="e">
        <x:f>AVERAGE(D31:D37)</x:f>
      </x:c>
      <x:c r="E38" s="171" t="e">
        <x:f>AVERAGE(E31:E37)</x:f>
      </x:c>
      <x:c r="F38" s="163"/>
      <x:c r="G38" s="163"/>
      <x:c r="H38" s="163"/>
      <x:c r="I38" s="163"/>
      <x:c r="J38" s="163"/>
      <x:c r="K38" s="163"/>
      <x:c r="L38" s="163"/>
      <x:c r="M38" s="163"/>
      <x:c r="N38" s="163"/>
      <x:c r="O38" s="163"/>
      <x:c r="P38" s="163"/>
      <x:c r="Q38" s="163"/>
    </x:row>
    <x:row r="39" ht="15" customHeight="1">
      <x:c r="B39" s="172" t="s">
        <x:v>194</x:v>
      </x:c>
      <x:c r="C39" s="172"/>
      <x:c r="D39" s="173" t="n">
        <x:f>$I$4</x:f>
        <x:v>0</x:v>
      </x:c>
      <x:c r="E39" s="174" t="n">
        <x:f>$J$4</x:f>
        <x:v>0</x:v>
      </x:c>
      <x:c r="F39" s="163"/>
      <x:c r="G39" s="163"/>
      <x:c r="H39" s="163"/>
      <x:c r="I39" s="163"/>
      <x:c r="J39" s="163"/>
      <x:c r="K39" s="163"/>
      <x:c r="L39" s="163"/>
      <x:c r="M39" s="163"/>
      <x:c r="N39" s="163"/>
      <x:c r="O39" s="163"/>
      <x:c r="P39" s="163"/>
      <x:c r="Q39" s="163"/>
    </x:row>
    <x:row r="40" ht="6" customHeight="1"/>
    <x:row r="41" ht="18" customHeight="1">
      <x:c r="B41" s="149" t="s">
        <x:v>195</x:v>
      </x:c>
      <x:c r="C41" s="150"/>
      <x:c r="D41" s="150"/>
      <x:c r="E41" s="150"/>
      <x:c r="F41" s="150"/>
      <x:c r="G41" s="150"/>
      <x:c r="H41" s="150"/>
      <x:c r="I41" s="150"/>
      <x:c r="J41" s="150"/>
      <x:c r="K41" s="150"/>
      <x:c r="L41" s="150"/>
      <x:c r="M41" s="150"/>
      <x:c r="N41" s="150"/>
      <x:c r="O41" s="150"/>
      <x:c r="P41" s="150"/>
      <x:c r="Q41" s="151"/>
    </x:row>
    <x:row r="42" ht="16.049999237060547" customHeight="1">
      <x:c r="B42" s="165" t="s">
        <x:v>175</x:v>
      </x:c>
      <x:c r="C42" s="165" t="s">
        <x:v>192</x:v>
      </x:c>
      <x:c r="D42" s="165" t="s">
        <x:v>171</x:v>
      </x:c>
      <x:c r="E42" s="165" t="s">
        <x:v>196</x:v>
      </x:c>
      <x:c r="F42" s="165" t="s">
        <x:v>197</x:v>
      </x:c>
      <x:c r="G42" s="165" t="s">
        <x:v>198</x:v>
      </x:c>
      <x:c r="H42" s="165" t="s">
        <x:v>199</x:v>
      </x:c>
      <x:c r="I42" s="165" t="s">
        <x:v>200</x:v>
      </x:c>
      <x:c r="J42" s="165" t="s">
        <x:v>172</x:v>
      </x:c>
      <x:c r="K42" s="165" t="s">
        <x:v>201</x:v>
      </x:c>
      <x:c r="L42" s="165" t="s">
        <x:v>202</x:v>
      </x:c>
      <x:c r="M42" s="165" t="s">
        <x:v>203</x:v>
      </x:c>
      <x:c r="N42" s="165"/>
      <x:c r="O42" s="165" t="s">
        <x:v>204</x:v>
      </x:c>
      <x:c r="P42" s="165" t="s">
        <x:v>205</x:v>
      </x:c>
      <x:c r="Q42" s="165" t="s">
        <x:v>206</x:v>
      </x:c>
    </x:row>
    <x:row r="43" ht="15" customHeight="1">
      <x:c r="B43" s="40">
        <x:v>1</x:v>
      </x:c>
      <x:c r="C43" s="40" t="str">
        <x:f t="shared" ref="C43:C49" si="7">IF(D31&gt;$I$4*1.1,"Superior",IF(D31&lt;$I$4*0.9,"Inferior","Similar"))</x:f>
        <x:v>Similar</x:v>
      </x:c>
      <x:c r="D43" s="40" t="str">
        <x:f t="shared" ref="D43:D49" si="8">IF(E31&gt;$J$4*1.1,"Superior",IF(E31&lt;$J$4*0.9,"Inferior","Similar"))</x:f>
        <x:v>Similar</x:v>
      </x:c>
      <x:c r="E43" s="40"/>
      <x:c r="F43" s="40"/>
      <x:c r="G43" s="40"/>
      <x:c r="H43" s="40"/>
      <x:c r="I43" s="40"/>
      <x:c r="J43" s="40" t="str">
        <x:f t="shared" ref="J43:J49" si="9">IF($K$4="No",IF(J9="No","Similar","Inferior"),IF(J9="No","Superior","Similar"))</x:f>
        <x:v>Similar</x:v>
      </x:c>
      <x:c r="K43" s="40" t="str">
        <x:f t="shared" ref="K43:K49" si="10">IF(K9&gt;$L$4*1.1,"Superior",IF(K9&lt;$L$4*0.9,"Inferior","Similar"))</x:f>
        <x:v>Similar</x:v>
      </x:c>
      <x:c r="L43" s="40"/>
      <x:c r="M43" s="40"/>
      <x:c r="N43" s="40"/>
      <x:c r="O43" s="40"/>
      <x:c r="P43" s="40"/>
      <x:c r="Q43" s="40"/>
    </x:row>
    <x:row r="44" ht="15" customHeight="1">
      <x:c r="B44" s="44">
        <x:v>2</x:v>
      </x:c>
      <x:c r="C44" s="44" t="str">
        <x:f t="shared" si="7"/>
        <x:v>Similar</x:v>
      </x:c>
      <x:c r="D44" s="44" t="str">
        <x:f t="shared" si="8"/>
        <x:v>Similar</x:v>
      </x:c>
      <x:c r="E44" s="44"/>
      <x:c r="F44" s="44"/>
      <x:c r="G44" s="44"/>
      <x:c r="H44" s="44"/>
      <x:c r="I44" s="44"/>
      <x:c r="J44" s="44" t="str">
        <x:f t="shared" si="9"/>
        <x:v>Similar</x:v>
      </x:c>
      <x:c r="K44" s="44" t="str">
        <x:f t="shared" si="10"/>
        <x:v>Similar</x:v>
      </x:c>
      <x:c r="L44" s="44"/>
      <x:c r="M44" s="44"/>
      <x:c r="N44" s="44"/>
      <x:c r="O44" s="44"/>
      <x:c r="P44" s="44"/>
      <x:c r="Q44" s="44"/>
    </x:row>
    <x:row r="45" ht="15" customHeight="1">
      <x:c r="B45" s="40">
        <x:v>3</x:v>
      </x:c>
      <x:c r="C45" s="40" t="str">
        <x:f t="shared" si="7"/>
        <x:v>Similar</x:v>
      </x:c>
      <x:c r="D45" s="40" t="str">
        <x:f t="shared" si="8"/>
        <x:v>Similar</x:v>
      </x:c>
      <x:c r="E45" s="40"/>
      <x:c r="F45" s="40"/>
      <x:c r="G45" s="40"/>
      <x:c r="H45" s="40"/>
      <x:c r="I45" s="40"/>
      <x:c r="J45" s="40" t="str">
        <x:f t="shared" si="9"/>
        <x:v>Similar</x:v>
      </x:c>
      <x:c r="K45" s="40" t="str">
        <x:f t="shared" si="10"/>
        <x:v>Similar</x:v>
      </x:c>
      <x:c r="L45" s="40"/>
      <x:c r="M45" s="40"/>
      <x:c r="N45" s="40"/>
      <x:c r="O45" s="40"/>
      <x:c r="P45" s="40"/>
      <x:c r="Q45" s="40"/>
    </x:row>
    <x:row r="46" ht="15" customHeight="1">
      <x:c r="B46" s="44">
        <x:v>4</x:v>
      </x:c>
      <x:c r="C46" s="44" t="str">
        <x:f t="shared" si="7"/>
        <x:v>Similar</x:v>
      </x:c>
      <x:c r="D46" s="44" t="str">
        <x:f t="shared" si="8"/>
        <x:v>Similar</x:v>
      </x:c>
      <x:c r="E46" s="44"/>
      <x:c r="F46" s="44"/>
      <x:c r="G46" s="44"/>
      <x:c r="H46" s="44"/>
      <x:c r="I46" s="44"/>
      <x:c r="J46" s="44" t="str">
        <x:f t="shared" si="9"/>
        <x:v>Similar</x:v>
      </x:c>
      <x:c r="K46" s="44" t="str">
        <x:f t="shared" si="10"/>
        <x:v>Similar</x:v>
      </x:c>
      <x:c r="L46" s="44"/>
      <x:c r="M46" s="44"/>
      <x:c r="N46" s="44"/>
      <x:c r="O46" s="44"/>
      <x:c r="P46" s="44"/>
      <x:c r="Q46" s="44"/>
    </x:row>
    <x:row r="47" ht="15" customHeight="1">
      <x:c r="B47" s="40">
        <x:v>5</x:v>
      </x:c>
      <x:c r="C47" s="40" t="str">
        <x:f t="shared" si="7"/>
        <x:v>Similar</x:v>
      </x:c>
      <x:c r="D47" s="40" t="str">
        <x:f t="shared" si="8"/>
        <x:v>Similar</x:v>
      </x:c>
      <x:c r="E47" s="40"/>
      <x:c r="F47" s="40"/>
      <x:c r="G47" s="40"/>
      <x:c r="H47" s="40"/>
      <x:c r="I47" s="40"/>
      <x:c r="J47" s="40" t="str">
        <x:f t="shared" si="9"/>
        <x:v>Similar</x:v>
      </x:c>
      <x:c r="K47" s="40" t="str">
        <x:f t="shared" si="10"/>
        <x:v>Similar</x:v>
      </x:c>
      <x:c r="L47" s="40"/>
      <x:c r="M47" s="40"/>
      <x:c r="N47" s="40"/>
      <x:c r="O47" s="40"/>
      <x:c r="P47" s="40"/>
      <x:c r="Q47" s="40"/>
    </x:row>
    <x:row r="48" ht="15" customHeight="1">
      <x:c r="B48" s="44">
        <x:v>6</x:v>
      </x:c>
      <x:c r="C48" s="44" t="str">
        <x:f t="shared" si="7"/>
        <x:v>Similar</x:v>
      </x:c>
      <x:c r="D48" s="44" t="str">
        <x:f t="shared" si="8"/>
        <x:v>Similar</x:v>
      </x:c>
      <x:c r="E48" s="44"/>
      <x:c r="F48" s="44"/>
      <x:c r="G48" s="44"/>
      <x:c r="H48" s="44"/>
      <x:c r="I48" s="44"/>
      <x:c r="J48" s="44" t="str">
        <x:f t="shared" si="9"/>
        <x:v>Similar</x:v>
      </x:c>
      <x:c r="K48" s="44" t="str">
        <x:f t="shared" si="10"/>
        <x:v>Similar</x:v>
      </x:c>
      <x:c r="L48" s="44"/>
      <x:c r="M48" s="44"/>
      <x:c r="N48" s="44"/>
      <x:c r="O48" s="44"/>
      <x:c r="P48" s="44"/>
      <x:c r="Q48" s="44"/>
    </x:row>
    <x:row r="49" ht="15" customHeight="1">
      <x:c r="B49" s="40">
        <x:v>7</x:v>
      </x:c>
      <x:c r="C49" s="40" t="str">
        <x:f t="shared" si="7"/>
        <x:v>Similar</x:v>
      </x:c>
      <x:c r="D49" s="40" t="str">
        <x:f t="shared" si="8"/>
        <x:v>Similar</x:v>
      </x:c>
      <x:c r="E49" s="40"/>
      <x:c r="F49" s="40"/>
      <x:c r="G49" s="40"/>
      <x:c r="H49" s="40"/>
      <x:c r="I49" s="40"/>
      <x:c r="J49" s="40" t="str">
        <x:f t="shared" si="9"/>
        <x:v>Similar</x:v>
      </x:c>
      <x:c r="K49" s="40" t="str">
        <x:f t="shared" si="10"/>
        <x:v>Similar</x:v>
      </x:c>
      <x:c r="L49" s="40"/>
      <x:c r="M49" s="40"/>
      <x:c r="N49" s="40"/>
      <x:c r="O49" s="40"/>
      <x:c r="P49" s="40"/>
      <x:c r="Q49" s="40"/>
    </x:row>
    <x:row r="50" ht="6" customHeight="1"/>
    <x:row r="51" ht="13.949999809265137" customHeight="1">
      <x:c r="B51" s="51"/>
      <x:c r="C51" s="144"/>
      <x:c r="D51" s="144"/>
      <x:c r="E51" s="144"/>
      <x:c r="F51" s="144"/>
      <x:c r="G51" s="144"/>
      <x:c r="H51" s="144"/>
      <x:c r="I51" s="144"/>
      <x:c r="J51" s="144"/>
      <x:c r="K51" s="144"/>
      <x:c r="L51" s="144" t="s">
        <x:v>207</x:v>
      </x:c>
      <x:c r="M51" s="144" t="e">
        <x:f>AVERAGE(sales!J20,sales!J22,sales!J23,sales!J24,sales!J25,sales!J26)</x:f>
      </x:c>
      <x:c r="N51" s="144"/>
      <x:c r="O51" s="144"/>
      <x:c r="P51" s="144"/>
      <x:c r="Q51" s="144"/>
    </x:row>
    <x:row r="52" ht="13.949999809265137" customHeight="1">
      <x:c r="B52" s="51"/>
      <x:c r="C52" s="144"/>
      <x:c r="D52" s="144"/>
      <x:c r="E52" s="144"/>
      <x:c r="F52" s="144"/>
      <x:c r="G52" s="144"/>
      <x:c r="H52" s="144"/>
      <x:c r="I52" s="144"/>
      <x:c r="J52" s="144"/>
      <x:c r="K52" s="144"/>
      <x:c r="L52" s="144" t="s">
        <x:v>208</x:v>
      </x:c>
      <x:c r="M52" s="144" t="e">
        <x:f>MEDIAN(sales!J20,sales!J22,sales!J23,sales!J24,sales!J25,sales!J26)</x:f>
      </x:c>
      <x:c r="N52" s="144"/>
      <x:c r="O52" s="144"/>
      <x:c r="P52" s="144"/>
      <x:c r="Q52" s="144"/>
    </x:row>
    <x:row r="53" ht="6" customHeight="1"/>
    <x:row r="54" ht="18" customHeight="1">
      <x:c r="B54" s="149" t="s">
        <x:v>209</x:v>
      </x:c>
      <x:c r="C54" s="150"/>
      <x:c r="D54" s="150"/>
      <x:c r="E54" s="150"/>
      <x:c r="F54" s="150"/>
      <x:c r="G54" s="150"/>
      <x:c r="H54" s="150"/>
      <x:c r="I54" s="150"/>
      <x:c r="J54" s="150"/>
      <x:c r="K54" s="150"/>
      <x:c r="L54" s="150"/>
      <x:c r="M54" s="150"/>
      <x:c r="N54" s="150"/>
      <x:c r="O54" s="150"/>
      <x:c r="P54" s="150"/>
      <x:c r="Q54" s="151"/>
    </x:row>
    <x:row r="55" ht="13.800000190734863" customHeight="1">
      <x:c r="B55" s="165" t="s">
        <x:v>51</x:v>
      </x:c>
      <x:c r="C55" s="166" t="s">
        <x:v>210</x:v>
      </x:c>
      <x:c r="D55" s="166" t="s">
        <x:v>211</x:v>
      </x:c>
      <x:c r="E55" s="145"/>
      <x:c r="F55" s="145"/>
      <x:c r="G55" s="145"/>
      <x:c r="H55" s="145"/>
      <x:c r="I55" s="145"/>
      <x:c r="J55" s="145"/>
      <x:c r="K55" s="145"/>
      <x:c r="L55" s="145"/>
      <x:c r="M55" s="145"/>
      <x:c r="N55" s="145"/>
      <x:c r="O55" s="145"/>
      <x:c r="P55" s="145"/>
      <x:c r="Q55" s="145"/>
    </x:row>
    <x:row r="56" ht="16.049999237060547" customHeight="1">
      <x:c r="B56" s="167"/>
      <x:c r="C56" s="167"/>
      <x:c r="D56" s="167" t="n">
        <x:f>B56*C56</x:f>
        <x:v>0</x:v>
      </x:c>
      <x:c r="E56" s="146"/>
      <x:c r="F56" s="146"/>
      <x:c r="G56" s="146"/>
      <x:c r="H56" s="146"/>
      <x:c r="I56" s="146"/>
      <x:c r="J56" s="146"/>
      <x:c r="K56" s="146"/>
      <x:c r="L56" s="146"/>
      <x:c r="M56" s="146"/>
      <x:c r="N56" s="146"/>
      <x:c r="O56" s="146"/>
      <x:c r="P56" s="146"/>
      <x:c r="Q56" s="146"/>
    </x:row>
  </x:sheetData>
  <x:mergeCells>
    <x:mergeCell ref="B2:H2"/>
    <x:mergeCell ref="B54:Q54"/>
    <x:mergeCell ref="B7:L7"/>
    <x:mergeCell ref="B41:Q41"/>
    <x:mergeCell ref="B29:E29"/>
    <x:mergeCell ref="B18:J18"/>
  </x:mergeCells>
  <x:conditionalFormatting sqref="C43:M49">
    <x:cfRule type="expression" dxfId="1" priority="1">
      <x:formula>C43="Superior"</x:formula>
    </x:cfRule>
    <x:cfRule type="expression" dxfId="0" priority="2">
      <x:formula>C43="Inferior"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199999809265137"/>
  <x:cols>
    <x:col min="1" max="1" width="18" customWidth="1"/>
    <x:col min="2" max="2" width="16" customWidth="1"/>
    <x:col min="3" max="6" width="14" customWidth="1"/>
    <x:col min="7" max="7" width="22" customWidth="1"/>
    <x:col min="8" max="8" width="12" customWidth="1"/>
  </x:cols>
  <x:sheetData>
    <x:row r="1" ht="22.049999237060547" customHeight="1">
      <x:c r="A1" s="156" t="s">
        <x:v>212</x:v>
      </x:c>
      <x:c r="B1" s="150"/>
      <x:c r="C1" s="150"/>
      <x:c r="D1" s="150"/>
      <x:c r="E1" s="150"/>
      <x:c r="F1" s="150"/>
      <x:c r="G1" s="150"/>
      <x:c r="H1" s="151"/>
    </x:row>
    <x:row r="2" ht="6" customHeight="1"/>
    <x:row r="3" ht="15" customHeight="1">
      <x:c r="A3" s="49" t="s">
        <x:v>213</x:v>
      </x:c>
      <x:c r="B3" s="50">
        <x:v>85</x:v>
      </x:c>
      <x:c r="C3" s="51" t="s">
        <x:v>214</x:v>
      </x:c>
      <x:c r="D3" s="52"/>
      <x:c r="E3" s="52"/>
      <x:c r="F3" s="52"/>
      <x:c r="G3" s="52"/>
      <x:c r="H3" s="52"/>
    </x:row>
    <x:row r="4" ht="15" customHeight="1">
      <x:c r="A4" s="49" t="s">
        <x:v>215</x:v>
      </x:c>
      <x:c r="B4" s="50" t="n">
        <x:f>Intake!B55</x:f>
        <x:v>0</x:v>
      </x:c>
      <x:c r="C4" s="51" t="s">
        <x:v>216</x:v>
      </x:c>
      <x:c r="D4" s="52"/>
      <x:c r="E4" s="52"/>
      <x:c r="F4" s="52"/>
      <x:c r="G4" s="52"/>
      <x:c r="H4" s="52"/>
    </x:row>
    <x:row r="5" ht="13.949999809265137" customHeight="1">
      <x:c r="A5" s="157"/>
      <x:c r="B5" s="150"/>
      <x:c r="C5" s="150"/>
      <x:c r="D5" s="150"/>
      <x:c r="E5" s="150"/>
      <x:c r="F5" s="150"/>
      <x:c r="G5" s="150"/>
      <x:c r="H5" s="151"/>
    </x:row>
    <x:row r="6" ht="16.049999237060547" customHeight="1">
      <x:c r="A6" s="39" t="s">
        <x:v>217</x:v>
      </x:c>
      <x:c r="B6" s="39" t="s">
        <x:v>186</x:v>
      </x:c>
      <x:c r="C6" s="39" t="s">
        <x:v>218</x:v>
      </x:c>
      <x:c r="D6" s="39" t="s">
        <x:v>219</x:v>
      </x:c>
      <x:c r="E6" s="39" t="s">
        <x:v>220</x:v>
      </x:c>
      <x:c r="F6" s="39" t="s">
        <x:v>221</x:v>
      </x:c>
      <x:c r="G6" s="39" t="s">
        <x:v>222</x:v>
      </x:c>
      <x:c r="H6" s="39"/>
    </x:row>
    <x:row r="7" ht="15" customHeight="1">
      <x:c r="A7" s="40" t="s">
        <x:v>223</x:v>
      </x:c>
      <x:c r="B7" s="50"/>
      <x:c r="C7" s="53" t="str">
        <x:f t="shared" ref="C7:C16" si="0">IF(B7="","",IFERROR(B7/$B$4,""))</x:f>
      </x:c>
      <x:c r="D7" s="54"/>
      <x:c r="E7" s="55"/>
      <x:c r="F7" s="43"/>
      <x:c r="G7" s="43"/>
      <x:c r="H7" s="43"/>
    </x:row>
    <x:row r="8" ht="15" customHeight="1">
      <x:c r="A8" s="44" t="s">
        <x:v>224</x:v>
      </x:c>
      <x:c r="B8" s="50"/>
      <x:c r="C8" s="56" t="str">
        <x:f t="shared" si="0"/>
      </x:c>
      <x:c r="D8" s="57"/>
      <x:c r="E8" s="58"/>
      <x:c r="F8" s="46"/>
      <x:c r="G8" s="46"/>
      <x:c r="H8" s="46"/>
    </x:row>
    <x:row r="9" ht="15" customHeight="1">
      <x:c r="A9" s="40" t="s">
        <x:v>225</x:v>
      </x:c>
      <x:c r="B9" s="50"/>
      <x:c r="C9" s="53" t="str">
        <x:f t="shared" si="0"/>
      </x:c>
      <x:c r="D9" s="54"/>
      <x:c r="E9" s="55"/>
      <x:c r="F9" s="43"/>
      <x:c r="G9" s="43"/>
      <x:c r="H9" s="43"/>
    </x:row>
    <x:row r="10" ht="15" customHeight="1">
      <x:c r="A10" s="44" t="s">
        <x:v>226</x:v>
      </x:c>
      <x:c r="B10" s="50"/>
      <x:c r="C10" s="56" t="str">
        <x:f t="shared" si="0"/>
      </x:c>
      <x:c r="D10" s="57"/>
      <x:c r="E10" s="58"/>
      <x:c r="F10" s="46"/>
      <x:c r="G10" s="46"/>
      <x:c r="H10" s="46"/>
    </x:row>
    <x:row r="11" ht="15" customHeight="1">
      <x:c r="A11" s="40" t="s">
        <x:v>227</x:v>
      </x:c>
      <x:c r="B11" s="50"/>
      <x:c r="C11" s="53" t="str">
        <x:f t="shared" si="0"/>
      </x:c>
      <x:c r="D11" s="54"/>
      <x:c r="E11" s="55"/>
      <x:c r="F11" s="43"/>
      <x:c r="G11" s="43"/>
      <x:c r="H11" s="43"/>
    </x:row>
    <x:row r="12" ht="15" customHeight="1">
      <x:c r="A12" s="44" t="s">
        <x:v>228</x:v>
      </x:c>
      <x:c r="B12" s="50"/>
      <x:c r="C12" s="56" t="str">
        <x:f t="shared" si="0"/>
      </x:c>
      <x:c r="D12" s="57"/>
      <x:c r="E12" s="58"/>
      <x:c r="F12" s="46"/>
      <x:c r="G12" s="46"/>
      <x:c r="H12" s="46"/>
    </x:row>
    <x:row r="13" ht="15" customHeight="1">
      <x:c r="A13" s="40" t="s">
        <x:v>229</x:v>
      </x:c>
      <x:c r="B13" s="50"/>
      <x:c r="C13" s="53" t="str">
        <x:f t="shared" si="0"/>
      </x:c>
      <x:c r="D13" s="54"/>
      <x:c r="E13" s="55"/>
      <x:c r="F13" s="43"/>
      <x:c r="G13" s="43"/>
      <x:c r="H13" s="43"/>
    </x:row>
    <x:row r="14" ht="15" customHeight="1">
      <x:c r="A14" s="44" t="s">
        <x:v>230</x:v>
      </x:c>
      <x:c r="B14" s="50"/>
      <x:c r="C14" s="56" t="str">
        <x:f t="shared" si="0"/>
      </x:c>
      <x:c r="D14" s="57"/>
      <x:c r="E14" s="58"/>
      <x:c r="F14" s="46"/>
      <x:c r="G14" s="46"/>
      <x:c r="H14" s="46"/>
    </x:row>
    <x:row r="15" ht="15" customHeight="1">
      <x:c r="A15" s="40" t="s">
        <x:v>231</x:v>
      </x:c>
      <x:c r="B15" s="50"/>
      <x:c r="C15" s="53" t="str">
        <x:f t="shared" si="0"/>
      </x:c>
      <x:c r="D15" s="54"/>
      <x:c r="E15" s="55"/>
      <x:c r="F15" s="43"/>
      <x:c r="G15" s="43"/>
      <x:c r="H15" s="43"/>
    </x:row>
    <x:row r="16" ht="15" customHeight="1">
      <x:c r="A16" s="44" t="s">
        <x:v>232</x:v>
      </x:c>
      <x:c r="B16" s="50"/>
      <x:c r="C16" s="56" t="str">
        <x:f t="shared" si="0"/>
      </x:c>
      <x:c r="D16" s="57"/>
      <x:c r="E16" s="58"/>
      <x:c r="F16" s="46"/>
      <x:c r="G16" s="46"/>
      <x:c r="H16" s="46"/>
    </x:row>
    <x:row r="17" ht="6" customHeight="1"/>
    <x:row r="18" ht="13.949999809265137" customHeight="1">
      <x:c r="A18" s="155" t="s">
        <x:v>233</x:v>
      </x:c>
      <x:c r="B18" s="150"/>
      <x:c r="C18" s="150"/>
      <x:c r="D18" s="150"/>
      <x:c r="E18" s="150"/>
      <x:c r="F18" s="150"/>
      <x:c r="G18" s="150"/>
      <x:c r="H18" s="151"/>
    </x:row>
  </x:sheetData>
  <x:mergeCells>
    <x:mergeCell ref="A18:H18"/>
    <x:mergeCell ref="A1:H1"/>
    <x:mergeCell ref="A5:H5"/>
  </x:mergeCells>
  <x:dataValidations count="1">
    <x:dataValidation type="list" sqref="B3">
      <x:formula1>"80,82.5,85,87.5,90"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199999809265137"/>
  <x:cols>
    <x:col min="1" max="1" width="2" customWidth="1"/>
    <x:col min="2" max="2" width="10" customWidth="1"/>
    <x:col min="3" max="3" width="28" customWidth="1"/>
    <x:col min="4" max="4" width="12" customWidth="1"/>
    <x:col min="5" max="6" width="14" customWidth="1"/>
    <x:col min="7" max="7" width="12" customWidth="1"/>
    <x:col min="8" max="8" width="10" customWidth="1"/>
    <x:col min="9" max="9" width="8" customWidth="1"/>
    <x:col min="10" max="10" width="12" customWidth="1"/>
  </x:cols>
  <x:sheetData>
    <x:row r="1" ht="6" customHeight="1"/>
    <x:row r="2" ht="18" customHeight="1">
      <x:c r="B2" s="149" t="s">
        <x:v>234</x:v>
      </x:c>
      <x:c r="C2" s="150"/>
      <x:c r="D2" s="150"/>
      <x:c r="E2" s="150"/>
      <x:c r="F2" s="150"/>
      <x:c r="G2" s="150"/>
      <x:c r="H2" s="150"/>
      <x:c r="I2" s="150"/>
      <x:c r="J2" s="151"/>
    </x:row>
    <x:row r="3" ht="13.949999809265137" customHeight="1">
      <x:c r="B3" s="158" t="str">
        <x:v>Subject: 100 Example Commerce Way, Sample City — 55,452 SF (1.27 Ac), Zone X, C-5</x:v>
      </x:c>
      <x:c r="C3" s="150"/>
      <x:c r="D3" s="150"/>
      <x:c r="E3" s="150"/>
      <x:c r="F3" s="150"/>
      <x:c r="G3" s="150"/>
      <x:c r="H3" s="150"/>
      <x:c r="I3" s="150"/>
      <x:c r="J3" s="151"/>
    </x:row>
    <x:row r="4" ht="16.049999237060547" customHeight="1">
      <x:c r="B4" s="39" t="s">
        <x:v>175</x:v>
      </x:c>
      <x:c r="C4" s="39" t="s">
        <x:v>177</x:v>
      </x:c>
      <x:c r="D4" s="39" t="s">
        <x:v>176</x:v>
      </x:c>
      <x:c r="E4" s="39" t="s">
        <x:v>178</x:v>
      </x:c>
      <x:c r="F4" s="39" t="s">
        <x:v>235</x:v>
      </x:c>
      <x:c r="G4" s="39" t="s">
        <x:v>236</x:v>
      </x:c>
      <x:c r="H4" s="39" t="s">
        <x:v>172</x:v>
      </x:c>
      <x:c r="I4" s="39" t="s">
        <x:v>168</x:v>
      </x:c>
      <x:c r="J4" s="39" t="s">
        <x:v>237</x:v>
      </x:c>
    </x:row>
    <x:row r="5" ht="15" customHeight="1">
      <x:c r="B5" s="59">
        <x:v>1</x:v>
      </x:c>
      <x:c r="C5" s="59" t="str">
        <x:v>1301 Test Land Way, Demo Hills</x:v>
      </x:c>
      <x:c r="D5" s="59" t="s">
        <x:v>238</x:v>
      </x:c>
      <x:c r="E5" s="60">
        <x:v>550000</x:v>
      </x:c>
      <x:c r="F5" s="60">
        <x:v>60984</x:v>
      </x:c>
      <x:c r="G5" s="60" t="n">
        <x:f>E5/F5</x:f>
        <x:v>9.018759018759019</x:v>
      </x:c>
      <x:c r="H5" s="60" t="s">
        <x:v>239</x:v>
      </x:c>
      <x:c r="I5" s="60" t="s">
        <x:v>240</x:v>
      </x:c>
      <x:c r="J5" s="60" t="s">
        <x:v>241</x:v>
      </x:c>
    </x:row>
    <x:row r="6" ht="15" customHeight="1">
      <x:c r="B6" s="61">
        <x:v>2</x:v>
      </x:c>
      <x:c r="C6" s="61" t="str">
        <x:v>1402 Sample Ridge Road, Demo Hills</x:v>
      </x:c>
      <x:c r="D6" s="61" t="s">
        <x:v>242</x:v>
      </x:c>
      <x:c r="E6" s="62">
        <x:v>410000</x:v>
      </x:c>
      <x:c r="F6" s="62">
        <x:v>47916</x:v>
      </x:c>
      <x:c r="G6" s="62" t="n">
        <x:f>E6/F6</x:f>
        <x:v>8.556640788045748</x:v>
      </x:c>
      <x:c r="H6" s="62" t="s">
        <x:v>239</x:v>
      </x:c>
      <x:c r="I6" s="62" t="s">
        <x:v>243</x:v>
      </x:c>
      <x:c r="J6" s="62" t="s">
        <x:v>244</x:v>
      </x:c>
    </x:row>
    <x:row r="7" ht="15" customHeight="1">
      <x:c r="B7" s="59">
        <x:v>3</x:v>
      </x:c>
      <x:c r="C7" s="59" t="str">
        <x:v>1503 Example Boulevard, Test Metro</x:v>
      </x:c>
      <x:c r="D7" s="59" t="s">
        <x:v>245</x:v>
      </x:c>
      <x:c r="E7" s="60">
        <x:v>700000</x:v>
      </x:c>
      <x:c r="F7" s="60">
        <x:v>78408</x:v>
      </x:c>
      <x:c r="G7" s="60" t="n">
        <x:f>E7/F7</x:f>
        <x:v>8.927660442811957</x:v>
      </x:c>
      <x:c r="H7" s="60" t="s">
        <x:v>239</x:v>
      </x:c>
      <x:c r="I7" s="60" t="s">
        <x:v>240</x:v>
      </x:c>
      <x:c r="J7" s="60" t="s">
        <x:v>241</x:v>
      </x:c>
    </x:row>
    <x:row r="8" ht="15" customHeight="1">
      <x:c r="B8" s="61">
        <x:v>4</x:v>
      </x:c>
      <x:c r="C8" s="61" t="str">
        <x:v>1604 Demo Parkway West, Test Metro</x:v>
      </x:c>
      <x:c r="D8" s="61" t="s">
        <x:v>246</x:v>
      </x:c>
      <x:c r="E8" s="62">
        <x:v>480000</x:v>
      </x:c>
      <x:c r="F8" s="62">
        <x:v>52272</x:v>
      </x:c>
      <x:c r="G8" s="62" t="n">
        <x:f>E8/F8</x:f>
        <x:v>9.182736455463727</x:v>
      </x:c>
      <x:c r="H8" s="62" t="s">
        <x:v>247</x:v>
      </x:c>
      <x:c r="I8" s="62" t="s">
        <x:v>248</x:v>
      </x:c>
      <x:c r="J8" s="62" t="s">
        <x:v>244</x:v>
      </x:c>
    </x:row>
    <x:row r="9" ht="15" customHeight="1">
      <x:c r="B9" s="59">
        <x:v>5</x:v>
      </x:c>
      <x:c r="C9" s="59" t="str">
        <x:v>1705 Fictional Drive, Sample City</x:v>
      </x:c>
      <x:c r="D9" s="59" t="s">
        <x:v>249</x:v>
      </x:c>
      <x:c r="E9" s="60">
        <x:v>625000</x:v>
      </x:c>
      <x:c r="F9" s="60">
        <x:v>65340</x:v>
      </x:c>
      <x:c r="G9" s="60" t="n">
        <x:f>E9/F9</x:f>
        <x:v>9.565350474441383</x:v>
      </x:c>
      <x:c r="H9" s="60" t="s">
        <x:v>239</x:v>
      </x:c>
      <x:c r="I9" s="60" t="s">
        <x:v>250</x:v>
      </x:c>
      <x:c r="J9" s="60" t="s">
        <x:v>241</x:v>
      </x:c>
    </x:row>
    <x:row r="10" ht="16.049999237060547" customHeight="1">
      <x:c r="B10" s="63" t="s">
        <x:v>251</x:v>
      </x:c>
      <x:c r="C10" s="64"/>
      <x:c r="D10" s="64"/>
      <x:c r="E10" s="64" t="n">
        <x:f>AVERAGE(E5:E9)</x:f>
        <x:v>553000</x:v>
      </x:c>
      <x:c r="F10" s="64" t="n">
        <x:f>AVERAGE(F5:F9)</x:f>
        <x:v>60984</x:v>
      </x:c>
      <x:c r="G10" s="64" t="n">
        <x:f>AVERAGE(G5:G9)</x:f>
        <x:v>9.050229435904367</x:v>
      </x:c>
      <x:c r="H10" s="64"/>
      <x:c r="I10" s="64"/>
      <x:c r="J10" s="64"/>
    </x:row>
    <x:row r="11" ht="15" customHeight="1">
      <x:c r="B11" s="65" t="s">
        <x:v>252</x:v>
      </x:c>
      <x:c r="C11" s="66" t="str">
        <x:v>100 Example Commerce Way, Sample City</x:v>
      </x:c>
      <x:c r="D11" s="66"/>
      <x:c r="E11" s="66"/>
      <x:c r="F11" s="67" t="s">
        <x:v>253</x:v>
      </x:c>
      <x:c r="G11" s="67"/>
      <x:c r="H11" s="67" t="s">
        <x:v>239</x:v>
      </x:c>
      <x:c r="I11" s="67" t="s">
        <x:v>250</x:v>
      </x:c>
      <x:c r="J11" s="67" t="s">
        <x:v>244</x:v>
      </x:c>
    </x:row>
    <x:row r="12" ht="6" customHeight="1"/>
    <x:row r="13" ht="18" customHeight="1">
      <x:c r="B13" s="149" t="s">
        <x:v>254</x:v>
      </x:c>
      <x:c r="C13" s="150"/>
      <x:c r="D13" s="150"/>
      <x:c r="E13" s="150"/>
      <x:c r="F13" s="150"/>
      <x:c r="G13" s="150"/>
      <x:c r="H13" s="150"/>
      <x:c r="I13" s="150"/>
      <x:c r="J13" s="151"/>
    </x:row>
    <x:row r="14" ht="16.049999237060547" customHeight="1">
      <x:c r="B14" s="39" t="s">
        <x:v>175</x:v>
      </x:c>
      <x:c r="C14" s="39" t="s">
        <x:v>176</x:v>
      </x:c>
      <x:c r="D14" s="39" t="s">
        <x:v>236</x:v>
      </x:c>
      <x:c r="E14" s="39" t="s">
        <x:v>255</x:v>
      </x:c>
      <x:c r="F14" s="39" t="s">
        <x:v>256</x:v>
      </x:c>
      <x:c r="G14" s="39" t="s">
        <x:v>187</x:v>
      </x:c>
      <x:c r="H14" s="39" t="s">
        <x:v>188</x:v>
      </x:c>
      <x:c r="I14" s="39" t="s">
        <x:v>189</x:v>
      </x:c>
      <x:c r="J14" s="39" t="s">
        <x:v>190</x:v>
      </x:c>
    </x:row>
    <x:row r="15" ht="15" customHeight="1">
      <x:c r="B15" s="59">
        <x:v>1</x:v>
      </x:c>
      <x:c r="C15" s="59" t="s">
        <x:v>238</x:v>
      </x:c>
      <x:c r="D15" s="60">
        <x:v>9.0188000000000006</x:v>
      </x:c>
      <x:c r="E15" s="68">
        <x:v>0</x:v>
      </x:c>
      <x:c r="F15" s="60" t="n">
        <x:f>D15*(1+E15)</x:f>
        <x:v>9.0188</x:v>
      </x:c>
      <x:c r="G15" s="68">
        <x:v>-0.05</x:v>
      </x:c>
      <x:c r="H15" s="68">
        <x:v>0</x:v>
      </x:c>
      <x:c r="I15" s="68" t="n">
        <x:f>G15+H15</x:f>
        <x:v>-0.05</x:v>
      </x:c>
      <x:c r="J15" s="68" t="n">
        <x:f>F15*(1+I15)</x:f>
        <x:v>8.56786</x:v>
      </x:c>
    </x:row>
    <x:row r="16" ht="15" customHeight="1">
      <x:c r="B16" s="61">
        <x:v>2</x:v>
      </x:c>
      <x:c r="C16" s="61" t="s">
        <x:v>242</x:v>
      </x:c>
      <x:c r="D16" s="62">
        <x:v>8.5565999999999995</x:v>
      </x:c>
      <x:c r="E16" s="68">
        <x:v>0.05</x:v>
      </x:c>
      <x:c r="F16" s="62" t="n">
        <x:f>D16*(1+E16)</x:f>
        <x:v>8.98443</x:v>
      </x:c>
      <x:c r="G16" s="68">
        <x:v>-0.05</x:v>
      </x:c>
      <x:c r="H16" s="68">
        <x:v>0</x:v>
      </x:c>
      <x:c r="I16" s="68" t="n">
        <x:f>G16+H16</x:f>
        <x:v>-0.05</x:v>
      </x:c>
      <x:c r="J16" s="68" t="n">
        <x:f>F16*(1+I16)</x:f>
        <x:v>8.5352085</x:v>
      </x:c>
    </x:row>
    <x:row r="17" ht="15" customHeight="1">
      <x:c r="B17" s="59">
        <x:v>3</x:v>
      </x:c>
      <x:c r="C17" s="59" t="s">
        <x:v>245</x:v>
      </x:c>
      <x:c r="D17" s="60">
        <x:v>8.9276999999999997</x:v>
      </x:c>
      <x:c r="E17" s="68">
        <x:v>0.05</x:v>
      </x:c>
      <x:c r="F17" s="60" t="n">
        <x:f>D17*(1+E17)</x:f>
        <x:v>9.374085000000001</x:v>
      </x:c>
      <x:c r="G17" s="68">
        <x:v>0.1</x:v>
      </x:c>
      <x:c r="H17" s="68">
        <x:v>0</x:v>
      </x:c>
      <x:c r="I17" s="68" t="n">
        <x:f>G17+H17</x:f>
        <x:v>0.1</x:v>
      </x:c>
      <x:c r="J17" s="68" t="n">
        <x:f>F17*(1+I17)</x:f>
        <x:v>10.311493500000001</x:v>
      </x:c>
    </x:row>
    <x:row r="18" ht="15" customHeight="1">
      <x:c r="B18" s="61">
        <x:v>4</x:v>
      </x:c>
      <x:c r="C18" s="61" t="s">
        <x:v>246</x:v>
      </x:c>
      <x:c r="D18" s="62">
        <x:v>9.1827000000000005</x:v>
      </x:c>
      <x:c r="E18" s="68">
        <x:v>0.05</x:v>
      </x:c>
      <x:c r="F18" s="62" t="n">
        <x:f>D18*(1+E18)</x:f>
        <x:v>9.641835</x:v>
      </x:c>
      <x:c r="G18" s="68">
        <x:v>0</x:v>
      </x:c>
      <x:c r="H18" s="68">
        <x:v>-0.05</x:v>
      </x:c>
      <x:c r="I18" s="68" t="n">
        <x:f>G18+H18</x:f>
        <x:v>-0.05</x:v>
      </x:c>
      <x:c r="J18" s="68" t="n">
        <x:f>F18*(1+I18)</x:f>
        <x:v>9.15974325</x:v>
      </x:c>
    </x:row>
    <x:row r="19" ht="15" customHeight="1">
      <x:c r="B19" s="59">
        <x:v>5</x:v>
      </x:c>
      <x:c r="C19" s="59" t="s">
        <x:v>249</x:v>
      </x:c>
      <x:c r="D19" s="60">
        <x:v>9.5654000000000003</x:v>
      </x:c>
      <x:c r="E19" s="68">
        <x:v>0</x:v>
      </x:c>
      <x:c r="F19" s="60" t="n">
        <x:f>D19*(1+E19)</x:f>
        <x:v>9.5654</x:v>
      </x:c>
      <x:c r="G19" s="68">
        <x:v>-0.05</x:v>
      </x:c>
      <x:c r="H19" s="68">
        <x:v>0.05</x:v>
      </x:c>
      <x:c r="I19" s="68" t="n">
        <x:f>G19+H19</x:f>
        <x:v>0</x:v>
      </x:c>
      <x:c r="J19" s="68" t="n">
        <x:f>F19*(1+I19)</x:f>
        <x:v>9.5654</x:v>
      </x:c>
    </x:row>
    <x:row r="20" ht="16.049999237060547" customHeight="1">
      <x:c r="B20" s="63" t="s">
        <x:v>251</x:v>
      </x:c>
      <x:c r="C20" s="64"/>
      <x:c r="D20" s="64" t="n">
        <x:f>AVERAGE(D15:D19)</x:f>
        <x:v>9.050239999999999</x:v>
      </x:c>
      <x:c r="E20" s="64"/>
      <x:c r="F20" s="64" t="n">
        <x:f>AVERAGE(F15:F19)</x:f>
        <x:v>9.316910000000002</x:v>
      </x:c>
      <x:c r="G20" s="64"/>
      <x:c r="H20" s="64"/>
      <x:c r="I20" s="64"/>
      <x:c r="J20" s="64" t="n">
        <x:f>AVERAGE(J15:J19)</x:f>
        <x:v>9.227941050000002</x:v>
      </x:c>
    </x:row>
    <x:row r="21" ht="6" customHeight="1"/>
    <x:row r="22" ht="18" customHeight="1">
      <x:c r="B22" s="149" t="s">
        <x:v>257</x:v>
      </x:c>
      <x:c r="C22" s="150"/>
      <x:c r="D22" s="150"/>
      <x:c r="E22" s="150"/>
      <x:c r="F22" s="150"/>
      <x:c r="G22" s="150"/>
      <x:c r="H22" s="150"/>
      <x:c r="I22" s="150"/>
      <x:c r="J22" s="151"/>
    </x:row>
    <x:row r="23" ht="15" customHeight="1">
      <x:c r="B23" s="59" t="s">
        <x:v>258</x:v>
      </x:c>
      <x:c r="C23" s="59"/>
      <x:c r="D23" s="68" t="n">
        <x:f>MIN(J15:J19)</x:f>
        <x:v>8.5352085</x:v>
      </x:c>
      <x:c r="E23" s="60" t="s">
        <x:v>259</x:v>
      </x:c>
      <x:c r="F23" s="60" t="n">
        <x:f>MAX(J15:J19)</x:f>
        <x:v>10.311493500000001</x:v>
      </x:c>
      <x:c r="G23" s="60"/>
      <x:c r="H23" s="60"/>
      <x:c r="I23" s="60"/>
      <x:c r="J23" s="60"/>
    </x:row>
    <x:row r="24" ht="15" customHeight="1">
      <x:c r="B24" s="61" t="s">
        <x:v>260</x:v>
      </x:c>
      <x:c r="C24" s="61"/>
      <x:c r="D24" s="68">
        <x:v>10</x:v>
      </x:c>
      <x:c r="E24" s="62"/>
      <x:c r="F24" s="62"/>
      <x:c r="G24" s="62"/>
      <x:c r="H24" s="62"/>
      <x:c r="I24" s="62"/>
      <x:c r="J24" s="62"/>
    </x:row>
    <x:row r="25" ht="15" customHeight="1">
      <x:c r="B25" s="59" t="s">
        <x:v>261</x:v>
      </x:c>
      <x:c r="C25" s="59"/>
      <x:c r="D25" s="68">
        <x:v>55452</x:v>
      </x:c>
      <x:c r="E25" s="60"/>
      <x:c r="F25" s="60"/>
      <x:c r="G25" s="60"/>
      <x:c r="H25" s="60"/>
      <x:c r="I25" s="60"/>
      <x:c r="J25" s="60"/>
    </x:row>
    <x:row r="26" ht="15" customHeight="1">
      <x:c r="B26" s="69" t="s">
        <x:v>262</x:v>
      </x:c>
      <x:c r="C26" s="69"/>
      <x:c r="D26" s="70" t="n">
        <x:f>D24*D25</x:f>
        <x:v>554520</x:v>
      </x:c>
      <x:c r="E26" s="70"/>
      <x:c r="F26" s="70"/>
      <x:c r="G26" s="70"/>
      <x:c r="H26" s="70"/>
      <x:c r="I26" s="70"/>
      <x:c r="J26" s="70"/>
    </x:row>
    <x:row r="27" ht="6" customHeight="1"/>
    <x:row r="28" ht="18" customHeight="1">
      <x:c r="B28" s="149" t="s">
        <x:v>263</x:v>
      </x:c>
      <x:c r="C28" s="150"/>
      <x:c r="D28" s="150"/>
      <x:c r="E28" s="150"/>
      <x:c r="F28" s="150"/>
      <x:c r="G28" s="150"/>
      <x:c r="H28" s="150"/>
      <x:c r="I28" s="150"/>
      <x:c r="J28" s="151"/>
    </x:row>
    <x:row r="29" ht="28.049999237060547" customHeight="1">
      <x:c r="B29" s="154" t="s">
        <x:v>264</x:v>
      </x:c>
      <x:c r="C29" s="150"/>
      <x:c r="D29" s="150"/>
      <x:c r="E29" s="150"/>
      <x:c r="F29" s="150"/>
      <x:c r="G29" s="150"/>
      <x:c r="H29" s="150"/>
      <x:c r="I29" s="150"/>
      <x:c r="J29" s="151"/>
    </x:row>
    <x:row r="30" ht="16.049999237060547" customHeight="1">
      <x:c r="B30" s="39" t="s">
        <x:v>265</x:v>
      </x:c>
      <x:c r="C30" s="39" t="s">
        <x:v>266</x:v>
      </x:c>
      <x:c r="D30" s="39" t="s">
        <x:v>267</x:v>
      </x:c>
      <x:c r="E30" s="39" t="s">
        <x:v>268</x:v>
      </x:c>
      <x:c r="F30" s="39" t="s">
        <x:v>269</x:v>
      </x:c>
      <x:c r="G30" s="39" t="s">
        <x:v>270</x:v>
      </x:c>
      <x:c r="H30" s="39" t="s">
        <x:v>271</x:v>
      </x:c>
      <x:c r="I30" s="39" t="s">
        <x:v>272</x:v>
      </x:c>
      <x:c r="J30" s="39" t="s">
        <x:v>273</x:v>
      </x:c>
    </x:row>
    <x:row r="31" ht="15" customHeight="1">
      <x:c r="B31" s="59">
        <x:v>1</x:v>
      </x:c>
      <x:c r="C31" s="59" t="s">
        <x:v>274</x:v>
      </x:c>
      <x:c r="D31" s="68">
        <x:v>0</x:v>
      </x:c>
      <x:c r="E31" s="71"/>
      <x:c r="F31" s="68">
        <x:v>0</x:v>
      </x:c>
      <x:c r="G31" s="71"/>
      <x:c r="H31" s="68">
        <x:v>0</x:v>
      </x:c>
      <x:c r="I31" s="71"/>
      <x:c r="J31" s="71" t="str">
        <x:f>IFERROR(size_adj!D6,0)</x:f>
        <x:v>Size Factor</x:v>
      </x:c>
    </x:row>
    <x:row r="32" ht="15" customHeight="1">
      <x:c r="B32" s="61">
        <x:v>2</x:v>
      </x:c>
      <x:c r="C32" s="61" t="s">
        <x:v>275</x:v>
      </x:c>
      <x:c r="D32" s="68">
        <x:v>0</x:v>
      </x:c>
      <x:c r="E32" s="71"/>
      <x:c r="F32" s="68">
        <x:v>0</x:v>
      </x:c>
      <x:c r="G32" s="71"/>
      <x:c r="H32" s="68">
        <x:v>0</x:v>
      </x:c>
      <x:c r="I32" s="71"/>
      <x:c r="J32" s="71" t="str">
        <x:f>IFERROR(size_adj!D7,0)</x:f>
      </x:c>
    </x:row>
    <x:row r="33" ht="15" customHeight="1">
      <x:c r="B33" s="59">
        <x:v>3</x:v>
      </x:c>
      <x:c r="C33" s="59" t="s">
        <x:v>276</x:v>
      </x:c>
      <x:c r="D33" s="68">
        <x:v>0</x:v>
      </x:c>
      <x:c r="E33" s="71"/>
      <x:c r="F33" s="68">
        <x:v>0</x:v>
      </x:c>
      <x:c r="G33" s="71"/>
      <x:c r="H33" s="68">
        <x:v>0</x:v>
      </x:c>
      <x:c r="I33" s="71"/>
      <x:c r="J33" s="71" t="str">
        <x:f>IFERROR(size_adj!D8,0)</x:f>
      </x:c>
    </x:row>
    <x:row r="34" ht="15" customHeight="1">
      <x:c r="B34" s="61">
        <x:v>4</x:v>
      </x:c>
      <x:c r="C34" s="61" t="s">
        <x:v>277</x:v>
      </x:c>
      <x:c r="D34" s="68">
        <x:v>0</x:v>
      </x:c>
      <x:c r="E34" s="71"/>
      <x:c r="F34" s="68">
        <x:v>0</x:v>
      </x:c>
      <x:c r="G34" s="71"/>
      <x:c r="H34" s="68">
        <x:v>0</x:v>
      </x:c>
      <x:c r="I34" s="71"/>
      <x:c r="J34" s="71" t="str">
        <x:f>IFERROR(size_adj!D9,0)</x:f>
      </x:c>
    </x:row>
    <x:row r="35" ht="15" customHeight="1">
      <x:c r="B35" s="59">
        <x:v>5</x:v>
      </x:c>
      <x:c r="C35" s="59" t="s">
        <x:v>278</x:v>
      </x:c>
      <x:c r="D35" s="68">
        <x:v>0</x:v>
      </x:c>
      <x:c r="E35" s="71"/>
      <x:c r="F35" s="68">
        <x:v>0</x:v>
      </x:c>
      <x:c r="G35" s="71"/>
      <x:c r="H35" s="68">
        <x:v>0</x:v>
      </x:c>
      <x:c r="I35" s="71"/>
      <x:c r="J35" s="71" t="str">
        <x:f>IFERROR(size_adj!D10,0)</x:f>
      </x:c>
    </x:row>
    <x:row r="36" ht="15" customHeight="1">
      <x:c r="B36" s="61">
        <x:v>6</x:v>
      </x:c>
      <x:c r="C36" s="61" t="s">
        <x:v>279</x:v>
      </x:c>
      <x:c r="D36" s="68">
        <x:v>0</x:v>
      </x:c>
      <x:c r="E36" s="71"/>
      <x:c r="F36" s="68">
        <x:v>0</x:v>
      </x:c>
      <x:c r="G36" s="71"/>
      <x:c r="H36" s="68">
        <x:v>0</x:v>
      </x:c>
      <x:c r="I36" s="71"/>
      <x:c r="J36" s="71" t="str">
        <x:f>IFERROR(size_adj!D11,0)</x:f>
      </x:c>
    </x:row>
    <x:row r="37" ht="15" customHeight="1">
      <x:c r="B37" s="59">
        <x:v>7</x:v>
      </x:c>
      <x:c r="C37" s="59" t="s">
        <x:v>280</x:v>
      </x:c>
      <x:c r="D37" s="68">
        <x:v>0</x:v>
      </x:c>
      <x:c r="E37" s="71"/>
      <x:c r="F37" s="68">
        <x:v>0</x:v>
      </x:c>
      <x:c r="G37" s="71"/>
      <x:c r="H37" s="68">
        <x:v>0</x:v>
      </x:c>
      <x:c r="I37" s="71"/>
      <x:c r="J37" s="71" t="str">
        <x:f>IFERROR(size_adj!D12,0)</x:f>
      </x:c>
    </x:row>
    <x:row r="38" ht="15" customHeight="1">
      <x:c r="B38" s="61">
        <x:v>8</x:v>
      </x:c>
      <x:c r="C38" s="61" t="s">
        <x:v>281</x:v>
      </x:c>
      <x:c r="D38" s="68">
        <x:v>0</x:v>
      </x:c>
      <x:c r="E38" s="71"/>
      <x:c r="F38" s="68">
        <x:v>0</x:v>
      </x:c>
      <x:c r="G38" s="71"/>
      <x:c r="H38" s="68">
        <x:v>0</x:v>
      </x:c>
      <x:c r="I38" s="71"/>
      <x:c r="J38" s="71" t="str">
        <x:f>IFERROR(size_adj!D13,0)</x:f>
      </x:c>
    </x:row>
    <x:row r="39" ht="15" customHeight="1">
      <x:c r="B39" s="59">
        <x:v>9</x:v>
      </x:c>
      <x:c r="C39" s="59" t="s">
        <x:v>282</x:v>
      </x:c>
      <x:c r="D39" s="68">
        <x:v>0</x:v>
      </x:c>
      <x:c r="E39" s="71"/>
      <x:c r="F39" s="68">
        <x:v>0</x:v>
      </x:c>
      <x:c r="G39" s="71"/>
      <x:c r="H39" s="68">
        <x:v>0</x:v>
      </x:c>
      <x:c r="I39" s="71"/>
      <x:c r="J39" s="71" t="str">
        <x:f>IFERROR(size_adj!D14,0)</x:f>
      </x:c>
    </x:row>
    <x:row r="40" ht="15" customHeight="1">
      <x:c r="B40" s="61">
        <x:v>10</x:v>
      </x:c>
      <x:c r="C40" s="61" t="s">
        <x:v>283</x:v>
      </x:c>
      <x:c r="D40" s="68">
        <x:v>0</x:v>
      </x:c>
      <x:c r="E40" s="71"/>
      <x:c r="F40" s="68">
        <x:v>0</x:v>
      </x:c>
      <x:c r="G40" s="71"/>
      <x:c r="H40" s="68">
        <x:v>0</x:v>
      </x:c>
      <x:c r="I40" s="71"/>
      <x:c r="J40" s="71" t="str">
        <x:f>IFERROR(size_adj!D15,0)</x:f>
      </x:c>
    </x:row>
    <x:row r="41" ht="6" customHeight="1"/>
    <x:row r="42" ht="13.949999809265137" customHeight="1">
      <x:c r="B42" s="155" t="s">
        <x:v>284</x:v>
      </x:c>
      <x:c r="C42" s="150"/>
      <x:c r="D42" s="150"/>
      <x:c r="E42" s="150"/>
      <x:c r="F42" s="150"/>
      <x:c r="G42" s="150"/>
      <x:c r="H42" s="150"/>
      <x:c r="I42" s="150"/>
      <x:c r="J42" s="151"/>
    </x:row>
  </x:sheetData>
  <x:mergeCells>
    <x:mergeCell ref="B2:J2"/>
    <x:mergeCell ref="B29:J29"/>
    <x:mergeCell ref="B3:J3"/>
    <x:mergeCell ref="B28:J28"/>
    <x:mergeCell ref="B42:J42"/>
    <x:mergeCell ref="B22:J22"/>
    <x:mergeCell ref="B13:J1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199999809265137"/>
  <x:cols>
    <x:col min="1" max="1" width="2" customWidth="1"/>
    <x:col min="2" max="2" width="30" customWidth="1"/>
    <x:col min="3" max="3" width="14" customWidth="1"/>
    <x:col min="4" max="4" width="13" customWidth="1"/>
    <x:col min="5" max="5" width="14" customWidth="1"/>
    <x:col min="6" max="6" width="11" customWidth="1"/>
    <x:col min="7" max="7" width="14" customWidth="1"/>
  </x:cols>
  <x:sheetData>
    <x:row r="1" ht="6" customHeight="1"/>
    <x:row r="2" ht="18" customHeight="1">
      <x:c r="B2" s="149" t="s">
        <x:v>285</x:v>
      </x:c>
      <x:c r="C2" s="150"/>
      <x:c r="D2" s="150"/>
      <x:c r="E2" s="150"/>
      <x:c r="F2" s="150"/>
      <x:c r="G2" s="151"/>
    </x:row>
    <x:row r="3" ht="15" customHeight="1">
      <x:c r="B3" s="159" t="str">
        <x:v>Subject: 100 Example Commerce Way | GBA: 22,668 SF | Year Built: 1980 | Effective Age: appraiser input</x:v>
      </x:c>
      <x:c r="C3" s="150"/>
      <x:c r="D3" s="150"/>
      <x:c r="E3" s="150"/>
      <x:c r="F3" s="150"/>
      <x:c r="G3" s="151"/>
    </x:row>
    <x:row r="4" ht="6" customHeight="1"/>
    <x:row r="5" ht="18" customHeight="1">
      <x:c r="B5" s="149" t="s">
        <x:v>286</x:v>
      </x:c>
      <x:c r="C5" s="150"/>
      <x:c r="D5" s="150"/>
      <x:c r="E5" s="150"/>
      <x:c r="F5" s="150"/>
      <x:c r="G5" s="151"/>
    </x:row>
    <x:row r="6" ht="16.049999237060547" customHeight="1">
      <x:c r="B6" s="39" t="s">
        <x:v>287</x:v>
      </x:c>
      <x:c r="C6" s="39" t="s">
        <x:v>288</x:v>
      </x:c>
      <x:c r="D6" s="39" t="s">
        <x:v>289</x:v>
      </x:c>
      <x:c r="E6" s="39" t="s">
        <x:v>222</x:v>
      </x:c>
      <x:c r="F6" s="39"/>
      <x:c r="G6" s="39"/>
    </x:row>
    <x:row r="7" ht="15" customHeight="1">
      <x:c r="B7" s="59" t="s">
        <x:v>290</x:v>
      </x:c>
      <x:c r="C7" s="68">
        <x:v>110</x:v>
      </x:c>
      <x:c r="D7" s="43" t="s">
        <x:v>179</x:v>
      </x:c>
      <x:c r="E7" s="59" t="s">
        <x:v>291</x:v>
      </x:c>
      <x:c r="F7" s="59"/>
      <x:c r="G7" s="59"/>
    </x:row>
    <x:row r="8" ht="15" customHeight="1">
      <x:c r="B8" s="61" t="s">
        <x:v>165</x:v>
      </x:c>
      <x:c r="C8" s="68">
        <x:v>22668</x:v>
      </x:c>
      <x:c r="D8" s="46" t="s">
        <x:v>292</x:v>
      </x:c>
      <x:c r="E8" s="61"/>
      <x:c r="F8" s="61"/>
      <x:c r="G8" s="61"/>
    </x:row>
    <x:row r="9" ht="15" customHeight="1">
      <x:c r="B9" s="59" t="s">
        <x:v>293</x:v>
      </x:c>
      <x:c r="C9" s="68">
        <x:v>1</x:v>
      </x:c>
      <x:c r="D9" s="43" t="s">
        <x:v>294</x:v>
      </x:c>
      <x:c r="E9" s="59" t="s">
        <x:v>295</x:v>
      </x:c>
      <x:c r="F9" s="59"/>
      <x:c r="G9" s="59"/>
    </x:row>
    <x:row r="10" ht="15" customHeight="1">
      <x:c r="B10" s="61" t="s">
        <x:v>296</x:v>
      </x:c>
      <x:c r="C10" s="68">
        <x:v>0.95</x:v>
      </x:c>
      <x:c r="D10" s="46" t="s">
        <x:v>294</x:v>
      </x:c>
      <x:c r="E10" s="61" t="s">
        <x:v>297</x:v>
      </x:c>
      <x:c r="F10" s="61"/>
      <x:c r="G10" s="61"/>
    </x:row>
    <x:row r="11" ht="15" customHeight="1">
      <x:c r="B11" s="72" t="s">
        <x:v>298</x:v>
      </x:c>
      <x:c r="C11" s="60" t="e">
        <x:f>B7*B9*B10</x:f>
      </x:c>
      <x:c r="D11" s="60" t="s">
        <x:v>179</x:v>
      </x:c>
      <x:c r="E11" s="59" t="e">
        <x:f>B7*B9*B10</x:f>
      </x:c>
      <x:c r="F11" s="59"/>
      <x:c r="G11" s="59"/>
    </x:row>
    <x:row r="12" ht="15" customHeight="1">
      <x:c r="B12" s="73" t="s">
        <x:v>299</x:v>
      </x:c>
      <x:c r="C12" s="62" t="e">
        <x:f>B8*B11</x:f>
      </x:c>
      <x:c r="D12" s="62" t="s">
        <x:v>300</x:v>
      </x:c>
      <x:c r="E12" s="61" t="e">
        <x:f>B7*B8 * all adjustments</x:f>
      </x:c>
      <x:c r="F12" s="61"/>
      <x:c r="G12" s="61"/>
    </x:row>
    <x:row r="13" ht="6" customHeight="1"/>
    <x:row r="14" ht="18" customHeight="1">
      <x:c r="B14" s="149" t="s">
        <x:v>301</x:v>
      </x:c>
      <x:c r="C14" s="150"/>
      <x:c r="D14" s="150"/>
      <x:c r="E14" s="150"/>
      <x:c r="F14" s="150"/>
      <x:c r="G14" s="151"/>
    </x:row>
    <x:row r="15" ht="16.049999237060547" customHeight="1">
      <x:c r="B15" s="39" t="s">
        <x:v>302</x:v>
      </x:c>
      <x:c r="C15" s="39" t="s">
        <x:v>303</x:v>
      </x:c>
      <x:c r="D15" s="39" t="s">
        <x:v>304</x:v>
      </x:c>
      <x:c r="E15" s="39" t="s">
        <x:v>305</x:v>
      </x:c>
      <x:c r="F15" s="39" t="s">
        <x:v>306</x:v>
      </x:c>
      <x:c r="G15" s="39" t="s">
        <x:v>307</x:v>
      </x:c>
    </x:row>
    <x:row r="16" ht="15" customHeight="1">
      <x:c r="B16" s="59" t="s">
        <x:v>308</x:v>
      </x:c>
      <x:c r="C16" s="68">
        <x:v>45000</x:v>
      </x:c>
      <x:c r="D16" s="68">
        <x:v>15</x:v>
      </x:c>
      <x:c r="E16" s="68">
        <x:v>20</x:v>
      </x:c>
      <x:c r="F16" s="60" t="n">
        <x:f>D16/E16</x:f>
        <x:v>0.75</x:v>
      </x:c>
      <x:c r="G16" s="60" t="n">
        <x:f>C16*F16</x:f>
        <x:v>33750</x:v>
      </x:c>
    </x:row>
    <x:row r="17" ht="15" customHeight="1">
      <x:c r="B17" s="61" t="s">
        <x:v>309</x:v>
      </x:c>
      <x:c r="C17" s="68">
        <x:v>35000</x:v>
      </x:c>
      <x:c r="D17" s="68">
        <x:v>15</x:v>
      </x:c>
      <x:c r="E17" s="68">
        <x:v>15</x:v>
      </x:c>
      <x:c r="F17" s="62" t="n">
        <x:f>D17/E17</x:f>
        <x:v>1</x:v>
      </x:c>
      <x:c r="G17" s="62" t="n">
        <x:f>C17*F17</x:f>
        <x:v>35000</x:v>
      </x:c>
    </x:row>
    <x:row r="18" ht="15" customHeight="1">
      <x:c r="B18" s="59" t="s">
        <x:v>310</x:v>
      </x:c>
      <x:c r="C18" s="68">
        <x:v>40000</x:v>
      </x:c>
      <x:c r="D18" s="68">
        <x:v>10</x:v>
      </x:c>
      <x:c r="E18" s="68">
        <x:v>30</x:v>
      </x:c>
      <x:c r="F18" s="60" t="n">
        <x:f>D18/E18</x:f>
        <x:v>0.3333333333333333</x:v>
      </x:c>
      <x:c r="G18" s="60" t="n">
        <x:f>C18*F18</x:f>
        <x:v>13333.333333333332</x:v>
      </x:c>
    </x:row>
    <x:row r="19" ht="15" customHeight="1">
      <x:c r="B19" s="61" t="s">
        <x:v>311</x:v>
      </x:c>
      <x:c r="C19" s="68">
        <x:v>50000</x:v>
      </x:c>
      <x:c r="D19" s="68">
        <x:v>15</x:v>
      </x:c>
      <x:c r="E19" s="68">
        <x:v>25</x:v>
      </x:c>
      <x:c r="F19" s="62" t="n">
        <x:f>D19/E19</x:f>
        <x:v>0.6</x:v>
      </x:c>
      <x:c r="G19" s="62" t="n">
        <x:f>C19*F19</x:f>
        <x:v>30000</x:v>
      </x:c>
    </x:row>
    <x:row r="20" ht="16.049999237060547" customHeight="1">
      <x:c r="B20" s="63" t="s">
        <x:v>312</x:v>
      </x:c>
      <x:c r="C20" s="64" t="n">
        <x:f>SUM(C16:C19)</x:f>
        <x:v>170000</x:v>
      </x:c>
      <x:c r="D20" s="64"/>
      <x:c r="E20" s="64"/>
      <x:c r="F20" s="64"/>
      <x:c r="G20" s="64" t="n">
        <x:f>SUM(G16:G19)</x:f>
        <x:v>112083.33333333333</x:v>
      </x:c>
    </x:row>
    <x:row r="21" ht="6" customHeight="1"/>
    <x:row r="22" ht="18" customHeight="1">
      <x:c r="B22" s="149" t="s">
        <x:v>313</x:v>
      </x:c>
      <x:c r="C22" s="150"/>
      <x:c r="D22" s="150"/>
      <x:c r="E22" s="150"/>
      <x:c r="F22" s="150"/>
      <x:c r="G22" s="151"/>
    </x:row>
    <x:row r="23" ht="16.049999237060547" customHeight="1">
      <x:c r="B23" s="39" t="s">
        <x:v>302</x:v>
      </x:c>
      <x:c r="C23" s="39" t="s">
        <x:v>303</x:v>
      </x:c>
      <x:c r="D23" s="39" t="s">
        <x:v>304</x:v>
      </x:c>
      <x:c r="E23" s="39" t="s">
        <x:v>305</x:v>
      </x:c>
      <x:c r="F23" s="39" t="s">
        <x:v>306</x:v>
      </x:c>
      <x:c r="G23" s="39" t="s">
        <x:v>307</x:v>
      </x:c>
    </x:row>
    <x:row r="24" ht="15" customHeight="1">
      <x:c r="B24" s="59" t="s">
        <x:v>314</x:v>
      </x:c>
      <x:c r="C24" s="68">
        <x:v>25000</x:v>
      </x:c>
      <x:c r="D24" s="68">
        <x:v>20</x:v>
      </x:c>
      <x:c r="E24" s="68">
        <x:v>45</x:v>
      </x:c>
      <x:c r="F24" s="60" t="n">
        <x:f>D24/E24</x:f>
        <x:v>0.4444444444444444</x:v>
      </x:c>
      <x:c r="G24" s="60" t="n">
        <x:f>C24*F24</x:f>
        <x:v>11111.111111111111</x:v>
      </x:c>
    </x:row>
    <x:row r="25" ht="15" customHeight="1">
      <x:c r="B25" s="61" t="s">
        <x:v>315</x:v>
      </x:c>
      <x:c r="C25" s="68">
        <x:v>30000</x:v>
      </x:c>
      <x:c r="D25" s="68">
        <x:v>15</x:v>
      </x:c>
      <x:c r="E25" s="68">
        <x:v>15</x:v>
      </x:c>
      <x:c r="F25" s="62" t="n">
        <x:f>D25/E25</x:f>
        <x:v>1</x:v>
      </x:c>
      <x:c r="G25" s="62" t="n">
        <x:f>C25*F25</x:f>
        <x:v>30000</x:v>
      </x:c>
    </x:row>
    <x:row r="26" ht="15" customHeight="1">
      <x:c r="B26" s="59" t="s">
        <x:v>316</x:v>
      </x:c>
      <x:c r="C26" s="68">
        <x:v>75000</x:v>
      </x:c>
      <x:c r="D26" s="68">
        <x:v>20</x:v>
      </x:c>
      <x:c r="E26" s="68">
        <x:v>25</x:v>
      </x:c>
      <x:c r="F26" s="60" t="n">
        <x:f>D26/E26</x:f>
        <x:v>0.8</x:v>
      </x:c>
      <x:c r="G26" s="60" t="n">
        <x:f>C26*F26</x:f>
        <x:v>60000</x:v>
      </x:c>
    </x:row>
    <x:row r="27" ht="15" customHeight="1">
      <x:c r="B27" s="61" t="s">
        <x:v>317</x:v>
      </x:c>
      <x:c r="C27" s="68">
        <x:v>40000</x:v>
      </x:c>
      <x:c r="D27" s="68">
        <x:v>20</x:v>
      </x:c>
      <x:c r="E27" s="68">
        <x:v>45</x:v>
      </x:c>
      <x:c r="F27" s="62" t="n">
        <x:f>D27/E27</x:f>
        <x:v>0.4444444444444444</x:v>
      </x:c>
      <x:c r="G27" s="62" t="n">
        <x:f>C27*F27</x:f>
        <x:v>17777.777777777777</x:v>
      </x:c>
    </x:row>
    <x:row r="28" ht="16.049999237060547" customHeight="1">
      <x:c r="B28" s="63" t="s">
        <x:v>318</x:v>
      </x:c>
      <x:c r="C28" s="64" t="n">
        <x:f>SUM(C24:C27)</x:f>
        <x:v>170000</x:v>
      </x:c>
      <x:c r="D28" s="64"/>
      <x:c r="E28" s="64"/>
      <x:c r="F28" s="64"/>
      <x:c r="G28" s="64" t="n">
        <x:f>SUM(G24:G27)</x:f>
        <x:v>118888.88888888889</x:v>
      </x:c>
    </x:row>
    <x:row r="29" ht="6" customHeight="1"/>
    <x:row r="30" ht="18" customHeight="1">
      <x:c r="B30" s="149" t="s">
        <x:v>319</x:v>
      </x:c>
      <x:c r="C30" s="150"/>
      <x:c r="D30" s="150"/>
      <x:c r="E30" s="150"/>
      <x:c r="F30" s="150"/>
      <x:c r="G30" s="151"/>
    </x:row>
    <x:row r="31" ht="16.049999237060547" customHeight="1">
      <x:c r="B31" s="39" t="s">
        <x:v>287</x:v>
      </x:c>
      <x:c r="C31" s="39" t="s">
        <x:v>288</x:v>
      </x:c>
      <x:c r="D31" s="39"/>
      <x:c r="E31" s="39"/>
      <x:c r="F31" s="39"/>
      <x:c r="G31" s="39"/>
    </x:row>
    <x:row r="32" ht="15" customHeight="1">
      <x:c r="B32" s="59" t="s">
        <x:v>299</x:v>
      </x:c>
      <x:c r="C32" s="60" t="e">
        <x:f>cost!C12</x:f>
      </x:c>
      <x:c r="D32" s="59"/>
      <x:c r="E32" s="59"/>
      <x:c r="F32" s="59"/>
      <x:c r="G32" s="59"/>
    </x:row>
    <x:row r="33" ht="15" customHeight="1">
      <x:c r="B33" s="61" t="s">
        <x:v>320</x:v>
      </x:c>
      <x:c r="C33" s="62" t="n">
        <x:f>C20</x:f>
        <x:v>170000</x:v>
      </x:c>
      <x:c r="D33" s="61"/>
      <x:c r="E33" s="61"/>
      <x:c r="F33" s="61"/>
      <x:c r="G33" s="61"/>
    </x:row>
    <x:row r="34" ht="15" customHeight="1">
      <x:c r="B34" s="59" t="s">
        <x:v>321</x:v>
      </x:c>
      <x:c r="C34" s="60" t="e">
        <x:f>C32-C33</x:f>
      </x:c>
      <x:c r="D34" s="59"/>
      <x:c r="E34" s="59"/>
      <x:c r="F34" s="59"/>
      <x:c r="G34" s="59"/>
    </x:row>
    <x:row r="35" ht="15" customHeight="1">
      <x:c r="B35" s="61" t="s">
        <x:v>322</x:v>
      </x:c>
      <x:c r="C35" s="68" t="s">
        <x:v>323</x:v>
      </x:c>
      <x:c r="D35" s="61"/>
      <x:c r="E35" s="61"/>
      <x:c r="F35" s="61"/>
      <x:c r="G35" s="61"/>
    </x:row>
    <x:row r="36" ht="15" customHeight="1">
      <x:c r="B36" s="59" t="s">
        <x:v>324</x:v>
      </x:c>
      <x:c r="C36" s="68"/>
      <x:c r="D36" s="59"/>
      <x:c r="E36" s="59"/>
      <x:c r="F36" s="59"/>
      <x:c r="G36" s="59"/>
    </x:row>
    <x:row r="37" ht="15" customHeight="1">
      <x:c r="B37" s="61" t="s">
        <x:v>325</x:v>
      </x:c>
      <x:c r="C37" s="62" t="e">
        <x:f>C35/C36</x:f>
      </x:c>
      <x:c r="D37" s="61"/>
      <x:c r="E37" s="61"/>
      <x:c r="F37" s="61"/>
      <x:c r="G37" s="61"/>
    </x:row>
    <x:row r="38" ht="15" customHeight="1">
      <x:c r="B38" s="59" t="s">
        <x:v>326</x:v>
      </x:c>
      <x:c r="C38" s="60" t="e">
        <x:f>C34*C37</x:f>
      </x:c>
      <x:c r="D38" s="59"/>
      <x:c r="E38" s="59"/>
      <x:c r="F38" s="59"/>
      <x:c r="G38" s="59"/>
    </x:row>
    <x:row r="39" ht="6" customHeight="1"/>
    <x:row r="40" ht="18" customHeight="1">
      <x:c r="B40" s="149" t="s">
        <x:v>327</x:v>
      </x:c>
      <x:c r="C40" s="150"/>
      <x:c r="D40" s="150"/>
      <x:c r="E40" s="150"/>
      <x:c r="F40" s="150"/>
      <x:c r="G40" s="151"/>
    </x:row>
    <x:row r="41" ht="13.949999809265137" customHeight="1">
      <x:c r="B41" s="154" t="s">
        <x:v>328</x:v>
      </x:c>
      <x:c r="C41" s="150"/>
      <x:c r="D41" s="150"/>
      <x:c r="E41" s="150"/>
      <x:c r="F41" s="150"/>
      <x:c r="G41" s="151"/>
    </x:row>
    <x:row r="42" ht="6" customHeight="1"/>
    <x:row r="43" ht="16.049999237060547" customHeight="1">
      <x:c r="B43" s="39" t="s">
        <x:v>287</x:v>
      </x:c>
      <x:c r="C43" s="39" t="s">
        <x:v>329</x:v>
      </x:c>
      <x:c r="D43" s="39"/>
      <x:c r="E43" s="39"/>
      <x:c r="F43" s="39"/>
      <x:c r="G43" s="39"/>
    </x:row>
    <x:row r="44" ht="15" customHeight="1">
      <x:c r="B44" s="65" t="s">
        <x:v>330</x:v>
      </x:c>
      <x:c r="C44" s="65"/>
      <x:c r="D44" s="65"/>
      <x:c r="E44" s="65"/>
      <x:c r="F44" s="65"/>
      <x:c r="G44" s="65"/>
    </x:row>
    <x:row r="45" ht="15" customHeight="1">
      <x:c r="B45" s="61" t="s">
        <x:v>331</x:v>
      </x:c>
      <x:c r="C45" s="62" t="n">
        <x:f>land!D26</x:f>
        <x:v>554520</x:v>
      </x:c>
      <x:c r="D45" s="61"/>
      <x:c r="E45" s="61"/>
      <x:c r="F45" s="61"/>
      <x:c r="G45" s="61"/>
    </x:row>
    <x:row r="46" ht="15" customHeight="1">
      <x:c r="B46" s="59"/>
      <x:c r="C46" s="60"/>
      <x:c r="D46" s="59"/>
      <x:c r="E46" s="59"/>
      <x:c r="F46" s="59"/>
      <x:c r="G46" s="59"/>
    </x:row>
    <x:row r="47" ht="15" customHeight="1">
      <x:c r="B47" s="65" t="s">
        <x:v>332</x:v>
      </x:c>
      <x:c r="C47" s="65"/>
      <x:c r="D47" s="65"/>
      <x:c r="E47" s="65"/>
      <x:c r="F47" s="65"/>
      <x:c r="G47" s="65"/>
    </x:row>
    <x:row r="48" ht="15" customHeight="1">
      <x:c r="B48" s="59" t="s">
        <x:v>299</x:v>
      </x:c>
      <x:c r="C48" s="60" t="e">
        <x:f>cost!C12</x:f>
      </x:c>
      <x:c r="D48" s="59"/>
      <x:c r="E48" s="59"/>
      <x:c r="F48" s="59"/>
      <x:c r="G48" s="59"/>
    </x:row>
    <x:row r="49" ht="15" customHeight="1">
      <x:c r="B49" s="65" t="s">
        <x:v>333</x:v>
      </x:c>
      <x:c r="C49" s="65"/>
      <x:c r="D49" s="65"/>
      <x:c r="E49" s="65"/>
      <x:c r="F49" s="65"/>
      <x:c r="G49" s="65"/>
    </x:row>
    <x:row r="50" ht="15" customHeight="1">
      <x:c r="B50" s="59" t="s">
        <x:v>334</x:v>
      </x:c>
      <x:c r="C50" s="60">
        <x:v>0</x:v>
      </x:c>
      <x:c r="D50" s="59"/>
      <x:c r="E50" s="59"/>
      <x:c r="F50" s="59"/>
      <x:c r="G50" s="59"/>
    </x:row>
    <x:row r="51" ht="15" customHeight="1">
      <x:c r="B51" s="61" t="s">
        <x:v>335</x:v>
      </x:c>
      <x:c r="C51" s="62" t="n">
        <x:f>cost!G20</x:f>
        <x:v>112083.33333333333</x:v>
      </x:c>
      <x:c r="D51" s="61"/>
      <x:c r="E51" s="61"/>
      <x:c r="F51" s="61"/>
      <x:c r="G51" s="61"/>
    </x:row>
    <x:row r="52" ht="15" customHeight="1">
      <x:c r="B52" s="59" t="s">
        <x:v>336</x:v>
      </x:c>
      <x:c r="C52" s="60" t="e">
        <x:f>cost!C38</x:f>
      </x:c>
      <x:c r="D52" s="59"/>
      <x:c r="E52" s="59"/>
      <x:c r="F52" s="59"/>
      <x:c r="G52" s="59"/>
    </x:row>
    <x:row r="53" ht="15" customHeight="1">
      <x:c r="B53" s="61" t="s">
        <x:v>337</x:v>
      </x:c>
      <x:c r="C53" s="62">
        <x:v>0</x:v>
      </x:c>
      <x:c r="D53" s="61"/>
      <x:c r="E53" s="61"/>
      <x:c r="F53" s="61"/>
      <x:c r="G53" s="61"/>
    </x:row>
    <x:row r="54" ht="15" customHeight="1">
      <x:c r="B54" s="59" t="s">
        <x:v>338</x:v>
      </x:c>
      <x:c r="C54" s="60">
        <x:v>0</x:v>
      </x:c>
      <x:c r="D54" s="59"/>
      <x:c r="E54" s="59"/>
      <x:c r="F54" s="59"/>
      <x:c r="G54" s="59"/>
    </x:row>
    <x:row r="55" ht="16.049999237060547" customHeight="1">
      <x:c r="B55" s="63" t="s">
        <x:v>339</x:v>
      </x:c>
      <x:c r="C55" s="64" t="e">
        <x:f>SUM(C50:C54)</x:f>
      </x:c>
      <x:c r="D55" s="64"/>
      <x:c r="E55" s="64"/>
      <x:c r="F55" s="64"/>
      <x:c r="G55" s="64"/>
    </x:row>
    <x:row r="56" ht="15" customHeight="1">
      <x:c r="B56" s="59" t="s">
        <x:v>340</x:v>
      </x:c>
      <x:c r="C56" s="60" t="e">
        <x:f>C48-C55</x:f>
      </x:c>
      <x:c r="D56" s="59"/>
      <x:c r="E56" s="59"/>
      <x:c r="F56" s="59"/>
      <x:c r="G56" s="59"/>
    </x:row>
    <x:row r="57" ht="6" customHeight="1"/>
    <x:row r="58" ht="15" customHeight="1">
      <x:c r="B58" s="65" t="s">
        <x:v>341</x:v>
      </x:c>
      <x:c r="C58" s="65"/>
      <x:c r="D58" s="65"/>
      <x:c r="E58" s="65"/>
      <x:c r="F58" s="65"/>
      <x:c r="G58" s="65"/>
    </x:row>
    <x:row r="59" ht="15" customHeight="1">
      <x:c r="B59" s="61" t="s">
        <x:v>342</x:v>
      </x:c>
      <x:c r="C59" s="62" t="n">
        <x:f>cost!C28</x:f>
        <x:v>170000</x:v>
      </x:c>
      <x:c r="D59" s="61"/>
      <x:c r="E59" s="61"/>
      <x:c r="F59" s="61"/>
      <x:c r="G59" s="61"/>
    </x:row>
    <x:row r="60" ht="15" customHeight="1">
      <x:c r="B60" s="59" t="s">
        <x:v>343</x:v>
      </x:c>
      <x:c r="C60" s="60" t="n">
        <x:f>cost!G28</x:f>
        <x:v>118888.88888888889</x:v>
      </x:c>
      <x:c r="D60" s="59"/>
      <x:c r="E60" s="59"/>
      <x:c r="F60" s="59"/>
      <x:c r="G60" s="59"/>
    </x:row>
    <x:row r="61" ht="16.049999237060547" customHeight="1">
      <x:c r="B61" s="63" t="s">
        <x:v>344</x:v>
      </x:c>
      <x:c r="C61" s="64" t="n">
        <x:f>C59-C60</x:f>
        <x:v>51111.11111111111</x:v>
      </x:c>
      <x:c r="D61" s="64"/>
      <x:c r="E61" s="64"/>
      <x:c r="F61" s="64"/>
      <x:c r="G61" s="64"/>
    </x:row>
    <x:row r="62" ht="6" customHeight="1"/>
    <x:row r="63" ht="15" customHeight="1">
      <x:c r="B63" s="65" t="s">
        <x:v>345</x:v>
      </x:c>
      <x:c r="C63" s="65"/>
      <x:c r="D63" s="65"/>
      <x:c r="E63" s="65"/>
      <x:c r="F63" s="65"/>
      <x:c r="G63" s="65"/>
    </x:row>
    <x:row r="64" ht="15" customHeight="1">
      <x:c r="B64" s="59" t="s">
        <x:v>346</x:v>
      </x:c>
      <x:c r="C64" s="60" t="n">
        <x:f>C45</x:f>
        <x:v>554520</x:v>
      </x:c>
      <x:c r="D64" s="59"/>
      <x:c r="E64" s="59"/>
      <x:c r="F64" s="59"/>
      <x:c r="G64" s="59"/>
    </x:row>
    <x:row r="65" ht="15" customHeight="1">
      <x:c r="B65" s="61" t="s">
        <x:v>340</x:v>
      </x:c>
      <x:c r="C65" s="62" t="e">
        <x:f>C56</x:f>
      </x:c>
      <x:c r="D65" s="61"/>
      <x:c r="E65" s="61"/>
      <x:c r="F65" s="61"/>
      <x:c r="G65" s="61"/>
    </x:row>
    <x:row r="66" ht="15" customHeight="1">
      <x:c r="B66" s="59" t="s">
        <x:v>344</x:v>
      </x:c>
      <x:c r="C66" s="60" t="n">
        <x:f>C61</x:f>
        <x:v>51111.11111111111</x:v>
      </x:c>
      <x:c r="D66" s="59"/>
      <x:c r="E66" s="59"/>
      <x:c r="F66" s="59"/>
      <x:c r="G66" s="59"/>
    </x:row>
    <x:row r="67" ht="15" customHeight="1">
      <x:c r="B67" s="61" t="s">
        <x:v>347</x:v>
      </x:c>
      <x:c r="C67" s="62" t="e">
        <x:f>C64+C65+C66</x:f>
      </x:c>
      <x:c r="D67" s="61"/>
      <x:c r="E67" s="61"/>
      <x:c r="F67" s="61"/>
      <x:c r="G67" s="61"/>
    </x:row>
    <x:row r="68" ht="18" customHeight="1">
      <x:c r="B68" s="74" t="s">
        <x:v>348</x:v>
      </x:c>
      <x:c r="C68" s="75" t="e">
        <x:f>ROUND(C67/25000,0)*25000</x:f>
      </x:c>
      <x:c r="D68" s="76"/>
      <x:c r="E68" s="76"/>
      <x:c r="F68" s="76"/>
      <x:c r="G68" s="76"/>
    </x:row>
    <x:row r="69" ht="16.049999237060547" customHeight="1">
      <x:c r="B69" s="63"/>
      <x:c r="C69" s="64"/>
      <x:c r="D69" s="64"/>
      <x:c r="E69" s="64"/>
      <x:c r="F69" s="64"/>
      <x:c r="G69" s="64"/>
    </x:row>
    <x:row r="71" ht="13.949999809265137" customHeight="1">
      <x:c r="B71" s="155"/>
      <x:c r="C71" s="150"/>
      <x:c r="D71" s="150"/>
      <x:c r="E71" s="150"/>
      <x:c r="F71" s="150"/>
      <x:c r="G71" s="151"/>
    </x:row>
  </x:sheetData>
  <x:mergeCells>
    <x:mergeCell ref="B2:G2"/>
    <x:mergeCell ref="B5:G5"/>
    <x:mergeCell ref="B14:G14"/>
    <x:mergeCell ref="B22:G22"/>
    <x:mergeCell ref="B41:G41"/>
    <x:mergeCell ref="B71:G71"/>
    <x:mergeCell ref="B40:G40"/>
    <x:mergeCell ref="B30:G30"/>
    <x:mergeCell ref="B3:G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10" customWidth="1"/>
    <x:col min="3" max="4" width="12" customWidth="1"/>
    <x:col min="5" max="9" width="14" customWidth="1"/>
  </x:cols>
  <x:sheetData>
    <x:row r="1" ht="6" customHeight="1"/>
    <x:row r="2" ht="18" customHeight="1">
      <x:c r="B2" s="149" t="s">
        <x:v>349</x:v>
      </x:c>
      <x:c r="C2" s="150"/>
      <x:c r="D2" s="150"/>
      <x:c r="E2" s="150"/>
      <x:c r="F2" s="150"/>
      <x:c r="G2" s="150"/>
      <x:c r="H2" s="150"/>
      <x:c r="I2" s="151"/>
    </x:row>
    <x:row r="3" ht="16.049999237060547" customHeight="1">
      <x:c r="B3" s="39" t="s">
        <x:v>175</x:v>
      </x:c>
      <x:c r="C3" s="39" t="s">
        <x:v>165</x:v>
      </x:c>
      <x:c r="D3" s="39" t="s">
        <x:v>350</x:v>
      </x:c>
      <x:c r="E3" s="39" t="s">
        <x:v>351</x:v>
      </x:c>
      <x:c r="F3" s="39" t="s">
        <x:v>352</x:v>
      </x:c>
      <x:c r="G3" s="39" t="s">
        <x:v>353</x:v>
      </x:c>
      <x:c r="H3" s="39" t="s">
        <x:v>354</x:v>
      </x:c>
      <x:c r="I3" s="39"/>
    </x:row>
    <x:row r="4" ht="16.049999237060547" customHeight="1">
      <x:c r="B4" s="39" t="s">
        <x:v>175</x:v>
      </x:c>
      <x:c r="C4" s="77" t="s">
        <x:v>165</x:v>
      </x:c>
      <x:c r="D4" s="78" t="s">
        <x:v>355</x:v>
      </x:c>
      <x:c r="E4" s="78" t="s">
        <x:v>126</x:v>
      </x:c>
      <x:c r="F4" s="78" t="s">
        <x:v>356</x:v>
      </x:c>
      <x:c r="G4" s="79" t="s">
        <x:v>357</x:v>
      </x:c>
      <x:c r="H4" s="78" t="s">
        <x:v>358</x:v>
      </x:c>
      <x:c r="I4" s="39"/>
    </x:row>
    <x:row r="5" ht="15" customHeight="1">
      <x:c r="B5" s="59">
        <x:v>1</x:v>
      </x:c>
      <x:c r="C5" s="80">
        <x:v>9780</x:v>
      </x:c>
      <x:c r="D5" s="81">
        <x:v>91.26</x:v>
      </x:c>
      <x:c r="E5" s="81">
        <x:v>7.39</x:v>
      </x:c>
      <x:c r="F5" s="81">
        <x:v>6.51</x:v>
      </x:c>
      <x:c r="G5" s="82">
        <x:v>0.88092016238159676</x:v>
      </x:c>
      <x:c r="H5" s="81">
        <x:v>80.392774018944522</x:v>
      </x:c>
      <x:c r="I5" s="60"/>
    </x:row>
    <x:row r="6" ht="15" customHeight="1">
      <x:c r="B6" s="61">
        <x:v>2</x:v>
      </x:c>
      <x:c r="C6" s="83">
        <x:v>12144</x:v>
      </x:c>
      <x:c r="D6" s="84">
        <x:v>107.05</x:v>
      </x:c>
      <x:c r="E6" s="84">
        <x:v>7.49</x:v>
      </x:c>
      <x:c r="F6" s="84">
        <x:v>6.51</x:v>
      </x:c>
      <x:c r="G6" s="85">
        <x:v>0.86915887850467288</x:v>
      </x:c>
      <x:c r="H6" s="84">
        <x:v>93.043457943925233</x:v>
      </x:c>
      <x:c r="I6" s="62"/>
    </x:row>
    <x:row r="7" ht="15" customHeight="1">
      <x:c r="B7" s="59">
        <x:v>3</x:v>
      </x:c>
      <x:c r="C7" s="80">
        <x:v>9554</x:v>
      </x:c>
      <x:c r="D7" s="81">
        <x:v>113.04</x:v>
      </x:c>
      <x:c r="E7" s="60" t="s">
        <x:v>359</x:v>
      </x:c>
      <x:c r="F7" s="81">
        <x:v>6.51</x:v>
      </x:c>
      <x:c r="G7" s="60" t="s">
        <x:v>359</x:v>
      </x:c>
      <x:c r="H7" s="60" t="s">
        <x:v>359</x:v>
      </x:c>
      <x:c r="I7" s="60"/>
    </x:row>
    <x:row r="8" ht="15" customHeight="1">
      <x:c r="B8" s="61">
        <x:v>4</x:v>
      </x:c>
      <x:c r="C8" s="83">
        <x:v>21166</x:v>
      </x:c>
      <x:c r="D8" s="84">
        <x:v>52.63</x:v>
      </x:c>
      <x:c r="E8" s="84">
        <x:v>4.37</x:v>
      </x:c>
      <x:c r="F8" s="84">
        <x:v>6.51</x:v>
      </x:c>
      <x:c r="G8" s="85">
        <x:v>1.4897025171624709</x:v>
      </x:c>
      <x:c r="H8" s="84">
        <x:v>78.403043478260869</x:v>
      </x:c>
      <x:c r="I8" s="62"/>
    </x:row>
    <x:row r="9" ht="15" customHeight="1">
      <x:c r="B9" s="59">
        <x:v>5</x:v>
      </x:c>
      <x:c r="C9" s="80">
        <x:v>22088</x:v>
      </x:c>
      <x:c r="D9" s="81">
        <x:v>58.86</x:v>
      </x:c>
      <x:c r="E9" s="81">
        <x:v>6.52</x:v>
      </x:c>
      <x:c r="F9" s="81">
        <x:v>6.51</x:v>
      </x:c>
      <x:c r="G9" s="82">
        <x:v>0.99846625766871167</x:v>
      </x:c>
      <x:c r="H9" s="81">
        <x:v>58.769723926380372</x:v>
      </x:c>
      <x:c r="I9" s="60"/>
    </x:row>
    <x:row r="10" ht="15" customHeight="1">
      <x:c r="B10" s="61">
        <x:v>6</x:v>
      </x:c>
      <x:c r="C10" s="83">
        <x:v>25272</x:v>
      </x:c>
      <x:c r="D10" s="84">
        <x:v>75.180000000000007</x:v>
      </x:c>
      <x:c r="E10" s="62" t="s">
        <x:v>359</x:v>
      </x:c>
      <x:c r="F10" s="84">
        <x:v>6.51</x:v>
      </x:c>
      <x:c r="G10" s="62" t="s">
        <x:v>359</x:v>
      </x:c>
      <x:c r="H10" s="62" t="s">
        <x:v>359</x:v>
      </x:c>
      <x:c r="I10" s="62"/>
    </x:row>
    <x:row r="11" ht="6" customHeight="1"/>
    <x:row r="12" ht="13.949999809265137" customHeight="1">
      <x:c r="B12" s="155" t="s">
        <x:v>360</x:v>
      </x:c>
      <x:c r="C12" s="150"/>
      <x:c r="D12" s="150"/>
      <x:c r="E12" s="150"/>
      <x:c r="F12" s="150"/>
      <x:c r="G12" s="150"/>
      <x:c r="H12" s="150"/>
      <x:c r="I12" s="151"/>
    </x:row>
  </x:sheetData>
  <x:mergeCells>
    <x:mergeCell ref="B12:I12"/>
    <x:mergeCell ref="B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14" defaultRowHeight="13.800000190734863"/>
  <x:cols>
    <x:col min="1" max="1" width="2" style="9" customWidth="1"/>
    <x:col min="2" max="2" width="12" customWidth="1"/>
    <x:col min="3" max="3" width="12" style="9" customWidth="1"/>
    <x:col min="4" max="4" width="14" style="9" customWidth="1"/>
    <x:col min="5" max="5" width="12" style="9" customWidth="1"/>
    <x:col min="6" max="7" width="14" style="9" customWidth="1"/>
    <x:col min="8" max="8" width="14" customWidth="1"/>
    <x:col min="9" max="16384" width="14" style="9" customWidth="0"/>
  </x:cols>
  <x:sheetData>
    <x:row r="1" ht="6" customHeight="1"/>
    <x:row r="2" ht="18" customHeight="1">
      <x:c r="B2" s="149" t="s">
        <x:v>361</x:v>
      </x:c>
      <x:c r="C2" s="150"/>
      <x:c r="D2" s="150"/>
      <x:c r="E2" s="150"/>
      <x:c r="F2" s="150"/>
      <x:c r="G2" s="150"/>
      <x:c r="H2" s="151"/>
    </x:row>
    <x:row r="3" ht="16.049999237060547" customHeight="1">
      <x:c r="B3" s="39" t="s">
        <x:v>355</x:v>
      </x:c>
      <x:c r="C3" s="86" t="s">
        <x:v>176</x:v>
      </x:c>
      <x:c r="D3" s="39" t="s">
        <x:v>178</x:v>
      </x:c>
      <x:c r="E3" s="39" t="s">
        <x:v>126</x:v>
      </x:c>
      <x:c r="F3" s="39" t="s">
        <x:v>362</x:v>
      </x:c>
      <x:c r="G3" s="39"/>
      <x:c r="H3" s="39"/>
    </x:row>
    <x:row r="4" ht="15" customHeight="1">
      <x:c r="B4" s="59" t="s">
        <x:v>363</x:v>
      </x:c>
      <x:c r="C4" s="87" t="s">
        <x:v>364</x:v>
      </x:c>
      <x:c r="D4" s="88">
        <x:v>892500</x:v>
      </x:c>
      <x:c r="E4" s="88" t="n">
        <x:f>F4*D4</x:f>
        <x:v>72292.5</x:v>
      </x:c>
      <x:c r="F4" s="89">
        <x:v>8.1000000000000003E-2</x:v>
      </x:c>
      <x:c r="G4" s="60"/>
      <x:c r="H4" s="60"/>
    </x:row>
    <x:row r="5" ht="15" customHeight="1">
      <x:c r="B5" s="61" t="s">
        <x:v>365</x:v>
      </x:c>
      <x:c r="C5" s="90" t="s">
        <x:v>366</x:v>
      </x:c>
      <x:c r="D5" s="91">
        <x:v>1300000</x:v>
      </x:c>
      <x:c r="E5" s="91" t="n">
        <x:f>F5*D5</x:f>
        <x:v>91000.00000000001</x:v>
      </x:c>
      <x:c r="F5" s="92">
        <x:v>7.0000000000000007E-2</x:v>
      </x:c>
      <x:c r="G5" s="62"/>
      <x:c r="H5" s="92" t="n">
        <x:f>AVERAGE(F4:F7)</x:f>
        <x:v>0.08620000000000001</x:v>
      </x:c>
    </x:row>
    <x:row r="6" ht="15" customHeight="1">
      <x:c r="B6" s="59" t="s">
        <x:v>367</x:v>
      </x:c>
      <x:c r="C6" s="87" t="s">
        <x:v>368</x:v>
      </x:c>
      <x:c r="D6" s="88">
        <x:v>1114000</x:v>
      </x:c>
      <x:c r="E6" s="88" t="n">
        <x:f>F6*D6</x:f>
        <x:v>92462</x:v>
      </x:c>
      <x:c r="F6" s="89">
        <x:v>8.3000000000000004E-2</x:v>
      </x:c>
      <x:c r="G6" s="60"/>
      <x:c r="H6" s="89" t="n">
        <x:f>MEDIAN(F4:F7)</x:f>
        <x:v>0.082</x:v>
      </x:c>
    </x:row>
    <x:row r="7" ht="15" customHeight="1">
      <x:c r="B7" s="61" t="s">
        <x:v>369</x:v>
      </x:c>
      <x:c r="C7" s="61" t="s">
        <x:v>370</x:v>
      </x:c>
      <x:c r="D7" s="91">
        <x:v>1300000</x:v>
      </x:c>
      <x:c r="E7" s="91" t="n">
        <x:f>F7*D7</x:f>
        <x:v>144040</x:v>
      </x:c>
      <x:c r="F7" s="92">
        <x:v>0.1108</x:v>
      </x:c>
      <x:c r="G7" s="62"/>
      <x:c r="H7" s="62"/>
    </x:row>
    <x:row r="8" ht="16.049999237060547" customHeight="1">
      <x:c r="B8" s="63" t="s">
        <x:v>371</x:v>
      </x:c>
      <x:c r="C8" s="64"/>
      <x:c r="D8" s="64"/>
      <x:c r="E8" s="64" t="s">
        <x:v>371</x:v>
      </x:c>
      <x:c r="F8" s="93">
        <x:v>0.09</x:v>
      </x:c>
      <x:c r="G8" s="64"/>
      <x:c r="H8" s="64"/>
    </x:row>
    <x:row r="9" ht="6" customHeight="1"/>
    <x:row r="10" ht="18" customHeight="1">
      <x:c r="B10" s="149" t="s">
        <x:v>372</x:v>
      </x:c>
      <x:c r="C10" s="150"/>
      <x:c r="D10" s="150"/>
      <x:c r="E10" s="150"/>
      <x:c r="F10" s="150"/>
      <x:c r="G10" s="150"/>
      <x:c r="H10" s="151"/>
    </x:row>
    <x:row r="11" ht="16.049999237060547" customHeight="1">
      <x:c r="B11" s="39" t="s">
        <x:v>373</x:v>
      </x:c>
      <x:c r="C11" s="39"/>
      <x:c r="D11" s="39"/>
      <x:c r="E11" s="39" t="s">
        <x:v>374</x:v>
      </x:c>
      <x:c r="F11" s="39"/>
      <x:c r="G11" s="39"/>
      <x:c r="H11" s="39"/>
    </x:row>
    <x:row r="12" ht="15" customHeight="1">
      <x:c r="B12" s="59" t="s">
        <x:v>375</x:v>
      </x:c>
      <x:c r="C12" s="59"/>
      <x:c r="D12" s="59"/>
      <x:c r="E12" s="59" t="s">
        <x:v>376</x:v>
      </x:c>
      <x:c r="F12" s="59"/>
      <x:c r="G12" s="59"/>
      <x:c r="H12" s="59"/>
    </x:row>
    <x:row r="13" ht="15" customHeight="1">
      <x:c r="B13" s="61" t="s">
        <x:v>377</x:v>
      </x:c>
      <x:c r="C13" s="61"/>
      <x:c r="D13" s="61"/>
      <x:c r="E13" s="61" t="str">
        <x:v>Demo North submarket</x:v>
      </x:c>
      <x:c r="F13" s="61"/>
      <x:c r="G13" s="61"/>
      <x:c r="H13" s="61"/>
    </x:row>
  </x:sheetData>
  <x:mergeCells>
    <x:mergeCell ref="B2:H2"/>
    <x:mergeCell ref="B10:H1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8" customWidth="1"/>
    <x:col min="3" max="3" width="28" customWidth="1"/>
    <x:col min="4" max="4" width="14" customWidth="1"/>
    <x:col min="5" max="5" width="12" customWidth="1"/>
    <x:col min="6" max="9" width="14" customWidth="1"/>
  </x:cols>
  <x:sheetData>
    <x:row r="1" ht="6" customHeight="1"/>
    <x:row r="2" ht="18" customHeight="1">
      <x:c r="B2" s="149" t="s">
        <x:v>378</x:v>
      </x:c>
      <x:c r="C2" s="150"/>
      <x:c r="D2" s="150"/>
      <x:c r="E2" s="150"/>
      <x:c r="F2" s="150"/>
      <x:c r="G2" s="150"/>
      <x:c r="H2" s="150"/>
      <x:c r="I2" s="151"/>
    </x:row>
    <x:row r="3" ht="28.049999237060547" customHeight="1">
      <x:c r="B3" s="154" t="s">
        <x:v>379</x:v>
      </x:c>
      <x:c r="C3" s="150"/>
      <x:c r="D3" s="150"/>
      <x:c r="E3" s="150"/>
      <x:c r="F3" s="150"/>
      <x:c r="G3" s="150"/>
      <x:c r="H3" s="150"/>
      <x:c r="I3" s="151"/>
    </x:row>
    <x:row r="4" ht="6" customHeight="1"/>
    <x:row r="5" ht="15" customHeight="1">
      <x:c r="B5" s="49" t="s">
        <x:v>380</x:v>
      </x:c>
      <x:c r="C5" s="94"/>
      <x:c r="D5" s="95">
        <x:v>12</x:v>
      </x:c>
      <x:c r="E5" s="96" t="s">
        <x:v>381</x:v>
      </x:c>
      <x:c r="F5" s="97"/>
      <x:c r="G5" s="97"/>
      <x:c r="H5" s="97"/>
      <x:c r="I5" s="97"/>
    </x:row>
    <x:row r="6" ht="6" customHeight="1"/>
    <x:row r="7" ht="16.049999237060547" customHeight="1">
      <x:c r="B7" s="39" t="s">
        <x:v>382</x:v>
      </x:c>
      <x:c r="C7" s="39" t="s">
        <x:v>383</x:v>
      </x:c>
      <x:c r="D7" s="39" t="s">
        <x:v>4</x:v>
      </x:c>
      <x:c r="E7" s="39" t="s">
        <x:v>384</x:v>
      </x:c>
      <x:c r="F7" s="39" t="s">
        <x:v>385</x:v>
      </x:c>
      <x:c r="G7" s="39" t="s">
        <x:v>386</x:v>
      </x:c>
      <x:c r="H7" s="39" t="s">
        <x:v>387</x:v>
      </x:c>
      <x:c r="I7" s="39" t="s">
        <x:v>388</x:v>
      </x:c>
    </x:row>
    <x:row r="8" ht="15" customHeight="1">
      <x:c r="B8" s="59" t="s">
        <x:v>389</x:v>
      </x:c>
      <x:c r="C8" s="59" t="s">
        <x:v>390</x:v>
      </x:c>
      <x:c r="D8" s="59" t="s">
        <x:v>390</x:v>
      </x:c>
      <x:c r="E8" s="80">
        <x:v>2193</x:v>
      </x:c>
      <x:c r="F8" s="81" t="n">
        <x:f t="shared" ref="F8:F16" si="0">$D$5</x:f>
        <x:v>12</x:v>
      </x:c>
      <x:c r="G8" s="81" t="n">
        <x:f t="shared" ref="G8:G16" si="1">E8*F8</x:f>
        <x:v>26316</x:v>
      </x:c>
      <x:c r="H8" s="60" t="s">
        <x:v>391</x:v>
      </x:c>
      <x:c r="I8" s="60" t="s">
        <x:v>391</x:v>
      </x:c>
    </x:row>
    <x:row r="9" ht="15" customHeight="1">
      <x:c r="B9" s="61" t="s">
        <x:v>392</x:v>
      </x:c>
      <x:c r="C9" s="61" t="str">
        <x:v>Tenant Alpha, LLC</x:v>
      </x:c>
      <x:c r="D9" s="61" t="s">
        <x:v>393</x:v>
      </x:c>
      <x:c r="E9" s="83">
        <x:v>1027</x:v>
      </x:c>
      <x:c r="F9" s="84">
        <x:f t="shared" si="0"/>
        <x:v>12</x:v>
      </x:c>
      <x:c r="G9" s="84">
        <x:f t="shared" si="1"/>
        <x:v>12324</x:v>
      </x:c>
      <x:c r="H9" s="84">
        <x:v>9.84</x:v>
      </x:c>
      <x:c r="I9" s="91">
        <x:v>10105.68</x:v>
      </x:c>
    </x:row>
    <x:row r="10" ht="15" customHeight="1">
      <x:c r="B10" s="59" t="s">
        <x:v>394</x:v>
      </x:c>
      <x:c r="C10" s="59" t="str">
        <x:v>Tenant Beta, LLC</x:v>
      </x:c>
      <x:c r="D10" s="59" t="s">
        <x:v>393</x:v>
      </x:c>
      <x:c r="E10" s="80">
        <x:v>1593</x:v>
      </x:c>
      <x:c r="F10" s="81">
        <x:f t="shared" si="0"/>
        <x:v>12</x:v>
      </x:c>
      <x:c r="G10" s="81">
        <x:f t="shared" si="1"/>
        <x:v>19116</x:v>
      </x:c>
      <x:c r="H10" s="81">
        <x:v>12</x:v>
      </x:c>
      <x:c r="I10" s="88">
        <x:v>19116</x:v>
      </x:c>
    </x:row>
    <x:row r="11" ht="15" customHeight="1">
      <x:c r="B11" s="61" t="s">
        <x:v>395</x:v>
      </x:c>
      <x:c r="C11" s="61" t="str">
        <x:v>Tenant Gamma, LLC</x:v>
      </x:c>
      <x:c r="D11" s="61" t="s">
        <x:v>393</x:v>
      </x:c>
      <x:c r="E11" s="83">
        <x:v>718</x:v>
      </x:c>
      <x:c r="F11" s="84">
        <x:f t="shared" si="0"/>
        <x:v>12</x:v>
      </x:c>
      <x:c r="G11" s="84">
        <x:f t="shared" si="1"/>
        <x:v>8616</x:v>
      </x:c>
      <x:c r="H11" s="84">
        <x:v>12.53</x:v>
      </x:c>
      <x:c r="I11" s="91">
        <x:v>9000</x:v>
      </x:c>
    </x:row>
    <x:row r="12" ht="15" customHeight="1">
      <x:c r="B12" s="59" t="s">
        <x:v>396</x:v>
      </x:c>
      <x:c r="C12" s="59" t="str">
        <x:v>Tenant Delta, LLC</x:v>
      </x:c>
      <x:c r="D12" s="59" t="s">
        <x:v>393</x:v>
      </x:c>
      <x:c r="E12" s="80">
        <x:v>1196</x:v>
      </x:c>
      <x:c r="F12" s="81">
        <x:f t="shared" si="0"/>
        <x:v>12</x:v>
      </x:c>
      <x:c r="G12" s="81">
        <x:f t="shared" si="1"/>
        <x:v>14352</x:v>
      </x:c>
      <x:c r="H12" s="81">
        <x:v>13.67</x:v>
      </x:c>
      <x:c r="I12" s="88">
        <x:v>16349.28</x:v>
      </x:c>
    </x:row>
    <x:row r="13" ht="15" customHeight="1">
      <x:c r="B13" s="61" t="s">
        <x:v>397</x:v>
      </x:c>
      <x:c r="C13" s="61" t="str">
        <x:v>Tenant Gamma, LLC</x:v>
      </x:c>
      <x:c r="D13" s="61" t="s">
        <x:v>393</x:v>
      </x:c>
      <x:c r="E13" s="83">
        <x:v>567</x:v>
      </x:c>
      <x:c r="F13" s="84">
        <x:f t="shared" si="0"/>
        <x:v>12</x:v>
      </x:c>
      <x:c r="G13" s="84">
        <x:f t="shared" si="1"/>
        <x:v>6804</x:v>
      </x:c>
      <x:c r="H13" s="84">
        <x:v>13</x:v>
      </x:c>
      <x:c r="I13" s="91">
        <x:v>7371</x:v>
      </x:c>
    </x:row>
    <x:row r="14" ht="15" customHeight="1">
      <x:c r="B14" s="59" t="s">
        <x:v>398</x:v>
      </x:c>
      <x:c r="C14" s="59" t="str">
        <x:v>Tenant Gamma, LLC</x:v>
      </x:c>
      <x:c r="D14" s="59" t="s">
        <x:v>393</x:v>
      </x:c>
      <x:c r="E14" s="80">
        <x:v>568</x:v>
      </x:c>
      <x:c r="F14" s="81">
        <x:f t="shared" si="0"/>
        <x:v>12</x:v>
      </x:c>
      <x:c r="G14" s="81">
        <x:f t="shared" si="1"/>
        <x:v>6816</x:v>
      </x:c>
      <x:c r="H14" s="81">
        <x:v>10.56</x:v>
      </x:c>
      <x:c r="I14" s="88">
        <x:v>6000</x:v>
      </x:c>
    </x:row>
    <x:row r="15" ht="15" customHeight="1">
      <x:c r="B15" s="61" t="s">
        <x:v>399</x:v>
      </x:c>
      <x:c r="C15" s="61" t="str">
        <x:v>Tenant Epsilon, LLC</x:v>
      </x:c>
      <x:c r="D15" s="61" t="s">
        <x:v>393</x:v>
      </x:c>
      <x:c r="E15" s="83">
        <x:v>1601</x:v>
      </x:c>
      <x:c r="F15" s="84">
        <x:f t="shared" si="0"/>
        <x:v>12</x:v>
      </x:c>
      <x:c r="G15" s="84">
        <x:f t="shared" si="1"/>
        <x:v>19212</x:v>
      </x:c>
      <x:c r="H15" s="84">
        <x:v>11.93</x:v>
      </x:c>
      <x:c r="I15" s="91">
        <x:v>19101.72</x:v>
      </x:c>
    </x:row>
    <x:row r="16" ht="15" customHeight="1">
      <x:c r="B16" s="59" t="s">
        <x:v>400</x:v>
      </x:c>
      <x:c r="C16" s="59" t="str">
        <x:v>Northstar Example Holdings</x:v>
      </x:c>
      <x:c r="D16" s="59" t="s">
        <x:v>401</x:v>
      </x:c>
      <x:c r="E16" s="80">
        <x:v>10920</x:v>
      </x:c>
      <x:c r="F16" s="81">
        <x:f t="shared" si="0"/>
        <x:v>12</x:v>
      </x:c>
      <x:c r="G16" s="81">
        <x:f t="shared" si="1"/>
        <x:v>131040</x:v>
      </x:c>
      <x:c r="H16" s="60" t="s">
        <x:v>391</x:v>
      </x:c>
      <x:c r="I16" s="60" t="s">
        <x:v>391</x:v>
      </x:c>
    </x:row>
    <x:row r="17" ht="16.049999237060547" customHeight="1">
      <x:c r="B17" s="63" t="s">
        <x:v>402</x:v>
      </x:c>
      <x:c r="C17" s="64"/>
      <x:c r="D17" s="64"/>
      <x:c r="E17" s="98" t="n">
        <x:f>SUM(E8:E16)</x:f>
        <x:v>20383</x:v>
      </x:c>
      <x:c r="F17" s="64"/>
      <x:c r="G17" s="99" t="n">
        <x:f>SUM(G8:G16)</x:f>
        <x:v>244596</x:v>
      </x:c>
      <x:c r="H17" s="64"/>
      <x:c r="I17" s="99" t="n">
        <x:f>SUM(I8:I16)</x:f>
        <x:v>87043.68</x:v>
      </x:c>
    </x:row>
    <x:row r="18" ht="18" customHeight="1">
      <x:c r="B18" s="38" t="s">
        <x:v>403</x:v>
      </x:c>
      <x:c r="C18" s="100"/>
      <x:c r="D18" s="100"/>
      <x:c r="E18" s="100"/>
      <x:c r="F18" s="100"/>
      <x:c r="G18" s="101" t="n">
        <x:f>G17</x:f>
        <x:v>244596</x:v>
      </x:c>
      <x:c r="H18" s="100"/>
      <x:c r="I18" s="100"/>
    </x:row>
    <x:row r="19" ht="13.949999809265137" customHeight="1">
      <x:c r="B19" s="155" t="s">
        <x:v>404</x:v>
      </x:c>
      <x:c r="C19" s="150"/>
      <x:c r="D19" s="150"/>
      <x:c r="E19" s="150"/>
      <x:c r="F19" s="150"/>
      <x:c r="G19" s="150"/>
      <x:c r="H19" s="150"/>
      <x:c r="I19" s="151"/>
    </x:row>
  </x:sheetData>
  <x:mergeCells>
    <x:mergeCell ref="B3:I3"/>
    <x:mergeCell ref="B19:I19"/>
    <x:mergeCell ref="B2:I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10" customWidth="1"/>
    <x:col min="3" max="3" width="32" customWidth="1"/>
    <x:col min="4" max="5" width="12" customWidth="1"/>
    <x:col min="6" max="6" width="14" customWidth="1"/>
    <x:col min="7" max="7" width="12" customWidth="1"/>
    <x:col min="8" max="10" width="14" customWidth="1"/>
  </x:cols>
  <x:sheetData>
    <x:row r="1" ht="6" customHeight="1"/>
    <x:row r="2" ht="18" customHeight="1">
      <x:c r="B2" s="149" t="s">
        <x:v>405</x:v>
      </x:c>
      <x:c r="C2" s="150"/>
      <x:c r="D2" s="150"/>
      <x:c r="E2" s="150"/>
      <x:c r="F2" s="150"/>
      <x:c r="G2" s="150"/>
      <x:c r="H2" s="150"/>
      <x:c r="I2" s="150"/>
      <x:c r="J2" s="151"/>
    </x:row>
    <x:row r="3" ht="16.049999237060547" customHeight="1">
      <x:c r="B3" s="39" t="s">
        <x:v>265</x:v>
      </x:c>
      <x:c r="C3" s="39" t="s">
        <x:v>177</x:v>
      </x:c>
      <x:c r="D3" s="39" t="s">
        <x:v>384</x:v>
      </x:c>
      <x:c r="E3" s="39" t="s">
        <x:v>406</x:v>
      </x:c>
      <x:c r="F3" s="39" t="s">
        <x:v>407</x:v>
      </x:c>
      <x:c r="G3" s="39" t="s">
        <x:v>408</x:v>
      </x:c>
      <x:c r="H3" s="39" t="s">
        <x:v>409</x:v>
      </x:c>
      <x:c r="I3" s="39" t="s">
        <x:v>383</x:v>
      </x:c>
      <x:c r="J3" s="39"/>
    </x:row>
    <x:row r="4" ht="15" customHeight="1">
      <x:c r="B4" s="59">
        <x:v>1</x:v>
      </x:c>
      <x:c r="C4" s="59" t="str">
        <x:v>101 Test Plaza, Demo Hills</x:v>
      </x:c>
      <x:c r="D4" s="80">
        <x:v>4500</x:v>
      </x:c>
      <x:c r="E4" s="81">
        <x:v>14</x:v>
      </x:c>
      <x:c r="F4" s="59" t="s">
        <x:v>410</x:v>
      </x:c>
      <x:c r="G4" s="102">
        <x:v>45809</x:v>
      </x:c>
      <x:c r="H4" s="102">
        <x:v>46934</x:v>
      </x:c>
      <x:c r="I4" s="60" t="s">
        <x:v>411</x:v>
      </x:c>
      <x:c r="J4" s="60"/>
    </x:row>
    <x:row r="5" ht="15" customHeight="1">
      <x:c r="B5" s="61">
        <x:v>2</x:v>
      </x:c>
      <x:c r="C5" s="61" t="str">
        <x:v>202 Sample Square, Demo Hills</x:v>
      </x:c>
      <x:c r="D5" s="83">
        <x:v>1477</x:v>
      </x:c>
      <x:c r="E5" s="84">
        <x:v>12.5</x:v>
      </x:c>
      <x:c r="F5" s="61" t="s">
        <x:v>412</x:v>
      </x:c>
      <x:c r="G5" s="103">
        <x:v>45007</x:v>
      </x:c>
      <x:c r="H5" s="103" t="s">
        <x:v>411</x:v>
      </x:c>
      <x:c r="I5" s="62" t="s">
        <x:v>411</x:v>
      </x:c>
      <x:c r="J5" s="62"/>
    </x:row>
    <x:row r="6" ht="15" customHeight="1">
      <x:c r="B6" s="59">
        <x:v>3</x:v>
      </x:c>
      <x:c r="C6" s="59" t="str">
        <x:v>303 Example Avenue, Sample City</x:v>
      </x:c>
      <x:c r="D6" s="80">
        <x:v>2890</x:v>
      </x:c>
      <x:c r="E6" s="81">
        <x:v>12</x:v>
      </x:c>
      <x:c r="F6" s="59" t="s">
        <x:v>410</x:v>
      </x:c>
      <x:c r="G6" s="102">
        <x:v>45967</x:v>
      </x:c>
      <x:c r="H6" s="102">
        <x:v>47483</x:v>
      </x:c>
      <x:c r="I6" s="60" t="s">
        <x:v>411</x:v>
      </x:c>
      <x:c r="J6" s="60"/>
    </x:row>
    <x:row r="7" ht="15" customHeight="1">
      <x:c r="B7" s="61">
        <x:v>4</x:v>
      </x:c>
      <x:c r="C7" s="61" t="str">
        <x:v>404 Demo Parkway, Sample City</x:v>
      </x:c>
      <x:c r="D7" s="83">
        <x:v>1062</x:v>
      </x:c>
      <x:c r="E7" s="84">
        <x:v>13.5</x:v>
      </x:c>
      <x:c r="F7" s="61" t="s">
        <x:v>412</x:v>
      </x:c>
      <x:c r="G7" s="103">
        <x:v>45569</x:v>
      </x:c>
      <x:c r="H7" s="103" t="s">
        <x:v>411</x:v>
      </x:c>
      <x:c r="I7" s="62" t="s">
        <x:v>411</x:v>
      </x:c>
      <x:c r="J7" s="62"/>
    </x:row>
    <x:row r="8" ht="15" customHeight="1">
      <x:c r="B8" s="59">
        <x:v>5</x:v>
      </x:c>
      <x:c r="C8" s="59" t="str">
        <x:v>505 Fictional Road, Sample City</x:v>
      </x:c>
      <x:c r="D8" s="80">
        <x:v>2000</x:v>
      </x:c>
      <x:c r="E8" s="81">
        <x:v>15</x:v>
      </x:c>
      <x:c r="F8" s="59" t="s">
        <x:v>410</x:v>
      </x:c>
      <x:c r="G8" s="102">
        <x:v>45779</x:v>
      </x:c>
      <x:c r="H8" s="102" t="s">
        <x:v>411</x:v>
      </x:c>
      <x:c r="I8" s="60" t="s">
        <x:v>411</x:v>
      </x:c>
      <x:c r="J8" s="60"/>
    </x:row>
    <x:row r="9" ht="15" customHeight="1">
      <x:c r="B9" s="61">
        <x:v>6</x:v>
      </x:c>
      <x:c r="C9" s="61" t="str">
        <x:v>606 Prototype Boulevard. Example Heights</x:v>
      </x:c>
      <x:c r="D9" s="83">
        <x:v>1022</x:v>
      </x:c>
      <x:c r="E9" s="84">
        <x:v>16</x:v>
      </x:c>
      <x:c r="F9" s="61" t="s">
        <x:v>412</x:v>
      </x:c>
      <x:c r="G9" s="103">
        <x:v>46143</x:v>
      </x:c>
      <x:c r="H9" s="103" t="s">
        <x:v>411</x:v>
      </x:c>
      <x:c r="I9" s="62" t="s">
        <x:v>411</x:v>
      </x:c>
      <x:c r="J9" s="62"/>
    </x:row>
    <x:row r="10" ht="15" customHeight="1">
      <x:c r="B10" s="59">
        <x:v>7</x:v>
      </x:c>
      <x:c r="C10" s="59" t="str">
        <x:v>707 Scenario Drive, Demo Hills</x:v>
      </x:c>
      <x:c r="D10" s="80">
        <x:v>1440</x:v>
      </x:c>
      <x:c r="E10" s="81">
        <x:v>12.5</x:v>
      </x:c>
      <x:c r="F10" s="59" t="s">
        <x:v>410</x:v>
      </x:c>
      <x:c r="G10" s="102">
        <x:v>45583</x:v>
      </x:c>
      <x:c r="H10" s="102">
        <x:v>46684</x:v>
      </x:c>
      <x:c r="I10" s="60" t="str">
        <x:v>Tenant Zeta, LLC</x:v>
      </x:c>
      <x:c r="J10" s="60"/>
    </x:row>
    <x:row r="11" ht="15" customHeight="1">
      <x:c r="B11" s="61">
        <x:v>8</x:v>
      </x:c>
      <x:c r="C11" s="61" t="str">
        <x:v>808 Placeholder Lane, Sample City</x:v>
      </x:c>
      <x:c r="D11" s="83">
        <x:v>5300</x:v>
      </x:c>
      <x:c r="E11" s="84">
        <x:v>15.17</x:v>
      </x:c>
      <x:c r="F11" s="61" t="s">
        <x:v>410</x:v>
      </x:c>
      <x:c r="G11" s="103">
        <x:v>45561</x:v>
      </x:c>
      <x:c r="H11" s="103">
        <x:v>47387</x:v>
      </x:c>
      <x:c r="I11" s="62" t="str">
        <x:v>Tenant Eta, LLC</x:v>
      </x:c>
      <x:c r="J11" s="62"/>
    </x:row>
    <x:row r="12" ht="15" customHeight="1">
      <x:c r="B12" s="59">
        <x:v>9</x:v>
      </x:c>
      <x:c r="C12" s="59" t="str">
        <x:v>909 Test Ridge Road, Demo Hills</x:v>
      </x:c>
      <x:c r="D12" s="80">
        <x:v>1063</x:v>
      </x:c>
      <x:c r="E12" s="81">
        <x:v>17</x:v>
      </x:c>
      <x:c r="F12" s="59" t="s">
        <x:v>410</x:v>
      </x:c>
      <x:c r="G12" s="102">
        <x:v>45534</x:v>
      </x:c>
      <x:c r="H12" s="102" t="s">
        <x:v>411</x:v>
      </x:c>
      <x:c r="I12" s="60" t="s">
        <x:v>411</x:v>
      </x:c>
      <x:c r="J12" s="60"/>
    </x:row>
    <x:row r="13" ht="15" customHeight="1">
      <x:c r="B13" s="61">
        <x:v>10</x:v>
      </x:c>
      <x:c r="C13" s="61" t="str">
        <x:v>1010 Sample Park South, Example Heights</x:v>
      </x:c>
      <x:c r="D13" s="83">
        <x:v>4189</x:v>
      </x:c>
      <x:c r="E13" s="84">
        <x:v>15.9</x:v>
      </x:c>
      <x:c r="F13" s="61" t="s">
        <x:v>412</x:v>
      </x:c>
      <x:c r="G13" s="103">
        <x:v>45486</x:v>
      </x:c>
      <x:c r="H13" s="103">
        <x:v>47312</x:v>
      </x:c>
      <x:c r="I13" s="62" t="str">
        <x:v>Tenant Theta, LLC</x:v>
      </x:c>
      <x:c r="J13" s="62"/>
    </x:row>
    <x:row r="14" ht="15" customHeight="1">
      <x:c r="B14" s="59">
        <x:v>11</x:v>
      </x:c>
      <x:c r="C14" s="59" t="str">
        <x:v>1111 Demo Beacon Way, Sample City</x:v>
      </x:c>
      <x:c r="D14" s="80">
        <x:v>899</x:v>
      </x:c>
      <x:c r="E14" s="81">
        <x:v>13.5</x:v>
      </x:c>
      <x:c r="F14" s="59" t="s">
        <x:v>412</x:v>
      </x:c>
      <x:c r="G14" s="102">
        <x:v>45353</x:v>
      </x:c>
      <x:c r="H14" s="102">
        <x:v>47179</x:v>
      </x:c>
      <x:c r="I14" s="60" t="str">
        <x:v>Tenant Iota, LLC</x:v>
      </x:c>
      <x:c r="J14" s="60"/>
    </x:row>
    <x:row r="15" ht="15" customHeight="1">
      <x:c r="B15" s="61">
        <x:v>12</x:v>
      </x:c>
      <x:c r="C15" s="61" t="str">
        <x:v>1212 Example Highway, Demo Hills</x:v>
      </x:c>
      <x:c r="D15" s="83">
        <x:v>1027</x:v>
      </x:c>
      <x:c r="E15" s="84">
        <x:v>11</x:v>
      </x:c>
      <x:c r="F15" s="61" t="s">
        <x:v>413</x:v>
      </x:c>
      <x:c r="G15" s="103">
        <x:v>45748</x:v>
      </x:c>
      <x:c r="H15" s="103">
        <x:v>46843</x:v>
      </x:c>
      <x:c r="I15" s="62" t="s">
        <x:v>411</x:v>
      </x:c>
      <x:c r="J15" s="62"/>
    </x:row>
    <x:row r="16" ht="16.049999237060547" customHeight="1">
      <x:c r="B16" s="63" t="s">
        <x:v>251</x:v>
      </x:c>
      <x:c r="C16" s="64"/>
      <x:c r="D16" s="98">
        <x:v>2239.083333333333</x:v>
      </x:c>
      <x:c r="E16" s="104">
        <x:v>14.00583333333333</x:v>
      </x:c>
      <x:c r="F16" s="64"/>
      <x:c r="G16" s="64"/>
      <x:c r="H16" s="64"/>
      <x:c r="I16" s="64"/>
      <x:c r="J16" s="64"/>
    </x:row>
  </x:sheetData>
  <x:mergeCells>
    <x:mergeCell ref="B2:J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4" width="16" customWidth="1"/>
    <x:col min="5" max="7" width="12" customWidth="1"/>
  </x:cols>
  <x:sheetData>
    <x:row r="1" ht="6" customHeight="1"/>
    <x:row r="2" ht="18" customHeight="1">
      <x:c r="B2" s="149" t="s">
        <x:v>414</x:v>
      </x:c>
      <x:c r="C2" s="150"/>
      <x:c r="D2" s="150"/>
      <x:c r="E2" s="150"/>
      <x:c r="F2" s="150"/>
      <x:c r="G2" s="151"/>
    </x:row>
    <x:row r="3" ht="16.049999237060547" customHeight="1">
      <x:c r="B3" s="39" t="s">
        <x:v>415</x:v>
      </x:c>
      <x:c r="C3" s="39" t="s">
        <x:v>410</x:v>
      </x:c>
      <x:c r="D3" s="39" t="s">
        <x:v>412</x:v>
      </x:c>
      <x:c r="E3" s="39"/>
      <x:c r="F3" s="39"/>
      <x:c r="G3" s="39"/>
    </x:row>
    <x:row r="4" ht="15" customHeight="1">
      <x:c r="B4" s="59" t="s">
        <x:v>416</x:v>
      </x:c>
      <x:c r="C4" s="81">
        <x:v>12</x:v>
      </x:c>
      <x:c r="D4" s="81">
        <x:v>12.5</x:v>
      </x:c>
      <x:c r="E4" s="60"/>
      <x:c r="F4" s="60"/>
      <x:c r="G4" s="60"/>
    </x:row>
    <x:row r="5" ht="15" customHeight="1">
      <x:c r="B5" s="61" t="s">
        <x:v>417</x:v>
      </x:c>
      <x:c r="C5" s="84">
        <x:v>14.5</x:v>
      </x:c>
      <x:c r="D5" s="84">
        <x:v>13.5</x:v>
      </x:c>
      <x:c r="E5" s="62"/>
      <x:c r="F5" s="62"/>
      <x:c r="G5" s="62"/>
    </x:row>
    <x:row r="6" ht="15" customHeight="1">
      <x:c r="B6" s="59" t="s">
        <x:v>418</x:v>
      </x:c>
      <x:c r="C6" s="81">
        <x:v>17</x:v>
      </x:c>
      <x:c r="D6" s="81">
        <x:v>16</x:v>
      </x:c>
      <x:c r="E6" s="60"/>
      <x:c r="F6" s="60"/>
      <x:c r="G6" s="60"/>
    </x:row>
    <x:row r="7" ht="15" customHeight="1">
      <x:c r="B7" s="61" t="s">
        <x:v>419</x:v>
      </x:c>
      <x:c r="C7" s="84">
        <x:v>14.278333333333331</x:v>
      </x:c>
      <x:c r="D7" s="84">
        <x:v>14.28</x:v>
      </x:c>
      <x:c r="E7" s="62"/>
      <x:c r="F7" s="62"/>
      <x:c r="G7" s="62"/>
    </x:row>
    <x:row r="8" ht="15" customHeight="1">
      <x:c r="B8" s="59" t="s">
        <x:v>420</x:v>
      </x:c>
      <x:c r="C8" s="60">
        <x:v>6</x:v>
      </x:c>
      <x:c r="D8" s="60">
        <x:v>5</x:v>
      </x:c>
      <x:c r="E8" s="60"/>
      <x:c r="F8" s="60"/>
      <x:c r="G8" s="60"/>
    </x:row>
    <x:row r="9" ht="6" customHeight="1"/>
    <x:row r="10" ht="18" customHeight="1">
      <x:c r="B10" s="149" t="s">
        <x:v>421</x:v>
      </x:c>
      <x:c r="C10" s="150"/>
      <x:c r="D10" s="150"/>
      <x:c r="E10" s="150"/>
      <x:c r="F10" s="150"/>
      <x:c r="G10" s="151"/>
    </x:row>
    <x:row r="11" ht="16.049999237060547" customHeight="1">
      <x:c r="B11" s="39" t="s">
        <x:v>415</x:v>
      </x:c>
      <x:c r="C11" s="39" t="s">
        <x:v>410</x:v>
      </x:c>
      <x:c r="D11" s="39" t="s">
        <x:v>412</x:v>
      </x:c>
      <x:c r="E11" s="39"/>
      <x:c r="F11" s="39"/>
      <x:c r="G11" s="39"/>
    </x:row>
    <x:row r="12" ht="15" customHeight="1">
      <x:c r="B12" s="59" t="s">
        <x:v>416</x:v>
      </x:c>
      <x:c r="C12" s="80">
        <x:v>1063</x:v>
      </x:c>
      <x:c r="D12" s="80">
        <x:v>899</x:v>
      </x:c>
      <x:c r="E12" s="60"/>
      <x:c r="F12" s="60"/>
      <x:c r="G12" s="60"/>
    </x:row>
    <x:row r="13" ht="15" customHeight="1">
      <x:c r="B13" s="61" t="s">
        <x:v>417</x:v>
      </x:c>
      <x:c r="C13" s="83">
        <x:v>2445</x:v>
      </x:c>
      <x:c r="D13" s="83">
        <x:v>1062</x:v>
      </x:c>
      <x:c r="E13" s="62"/>
      <x:c r="F13" s="62"/>
      <x:c r="G13" s="62"/>
    </x:row>
    <x:row r="14" ht="15" customHeight="1">
      <x:c r="B14" s="59" t="s">
        <x:v>418</x:v>
      </x:c>
      <x:c r="C14" s="80">
        <x:v>5300</x:v>
      </x:c>
      <x:c r="D14" s="80">
        <x:v>4189</x:v>
      </x:c>
      <x:c r="E14" s="60"/>
      <x:c r="F14" s="60"/>
      <x:c r="G14" s="60"/>
    </x:row>
    <x:row r="15" ht="15" customHeight="1">
      <x:c r="B15" s="61" t="s">
        <x:v>419</x:v>
      </x:c>
      <x:c r="C15" s="83">
        <x:v>2865.5</x:v>
      </x:c>
      <x:c r="D15" s="83">
        <x:v>1729.8</x:v>
      </x:c>
      <x:c r="E15" s="62"/>
      <x:c r="F15" s="62"/>
      <x:c r="G15" s="62"/>
    </x:row>
  </x:sheetData>
  <x:mergeCells>
    <x:mergeCell ref="B2:G2"/>
    <x:mergeCell ref="B10:G10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10" customWidth="1"/>
    <x:col min="3" max="3" width="28" customWidth="1"/>
    <x:col min="4" max="10" width="12" customWidth="1"/>
  </x:cols>
  <x:sheetData>
    <x:row r="1" ht="6" customHeight="1"/>
    <x:row r="2" ht="18" customHeight="1">
      <x:c r="B2" s="149" t="s">
        <x:v>422</x:v>
      </x:c>
      <x:c r="C2" s="150"/>
      <x:c r="D2" s="150"/>
      <x:c r="E2" s="150"/>
      <x:c r="F2" s="150"/>
      <x:c r="G2" s="150"/>
      <x:c r="H2" s="150"/>
      <x:c r="I2" s="150"/>
      <x:c r="J2" s="151"/>
    </x:row>
    <x:row r="3" ht="13.949999809265137" customHeight="1">
      <x:c r="B3" s="159" t="str">
        <x:v>Subject: 100 Example Commerce Way, Sample City — Class B Multi-Tenant Office, Average Condition, NNN/FS Mixed, ~$12.00/SF Market Rent</x:v>
      </x:c>
      <x:c r="C3" s="150"/>
      <x:c r="D3" s="150"/>
      <x:c r="E3" s="150"/>
      <x:c r="F3" s="150"/>
      <x:c r="G3" s="150"/>
      <x:c r="H3" s="150"/>
      <x:c r="I3" s="150"/>
      <x:c r="J3" s="151"/>
    </x:row>
    <x:row r="4" ht="16.049999237060547" customHeight="1">
      <x:c r="B4" s="39" t="s">
        <x:v>265</x:v>
      </x:c>
      <x:c r="C4" s="39" t="s">
        <x:v>177</x:v>
      </x:c>
      <x:c r="D4" s="39" t="s">
        <x:v>406</x:v>
      </x:c>
      <x:c r="E4" s="39" t="s">
        <x:v>177</x:v>
      </x:c>
      <x:c r="F4" s="39" t="s">
        <x:v>198</x:v>
      </x:c>
      <x:c r="G4" s="39" t="s">
        <x:v>199</x:v>
      </x:c>
      <x:c r="H4" s="39" t="s">
        <x:v>423</x:v>
      </x:c>
      <x:c r="I4" s="39" t="s">
        <x:v>424</x:v>
      </x:c>
      <x:c r="J4" s="39" t="s">
        <x:v>203</x:v>
      </x:c>
    </x:row>
    <x:row r="5" ht="15" customHeight="1">
      <x:c r="B5" s="59">
        <x:v>1</x:v>
      </x:c>
      <x:c r="C5" s="59" t="str">
        <x:v>101 Test Plaza, Demo Hills</x:v>
      </x:c>
      <x:c r="D5" s="81">
        <x:v>14</x:v>
      </x:c>
      <x:c r="E5" s="43" t="s">
        <x:v>204</x:v>
      </x:c>
      <x:c r="F5" s="43" t="s">
        <x:v>204</x:v>
      </x:c>
      <x:c r="G5" s="43" t="s">
        <x:v>204</x:v>
      </x:c>
      <x:c r="H5" s="43" t="s">
        <x:v>204</x:v>
      </x:c>
      <x:c r="I5" s="43" t="s">
        <x:v>204</x:v>
      </x:c>
      <x:c r="J5" s="43" t="s">
        <x:v>204</x:v>
      </x:c>
    </x:row>
    <x:row r="6" ht="15" customHeight="1">
      <x:c r="B6" s="61">
        <x:v>2</x:v>
      </x:c>
      <x:c r="C6" s="61" t="str">
        <x:v>202 Sample Square, Demo Hills</x:v>
      </x:c>
      <x:c r="D6" s="84">
        <x:v>12.5</x:v>
      </x:c>
      <x:c r="E6" s="46" t="s">
        <x:v>204</x:v>
      </x:c>
      <x:c r="F6" s="46" t="s">
        <x:v>204</x:v>
      </x:c>
      <x:c r="G6" s="46" t="s">
        <x:v>204</x:v>
      </x:c>
      <x:c r="H6" s="105" t="s">
        <x:v>205</x:v>
      </x:c>
      <x:c r="I6" s="106" t="s">
        <x:v>206</x:v>
      </x:c>
      <x:c r="J6" s="46" t="s">
        <x:v>204</x:v>
      </x:c>
    </x:row>
    <x:row r="7" ht="15" customHeight="1">
      <x:c r="B7" s="59">
        <x:v>3</x:v>
      </x:c>
      <x:c r="C7" s="59" t="str">
        <x:v>303 Example Avenue, Sample City</x:v>
      </x:c>
      <x:c r="D7" s="81">
        <x:v>12</x:v>
      </x:c>
      <x:c r="E7" s="43" t="s">
        <x:v>204</x:v>
      </x:c>
      <x:c r="F7" s="43" t="s">
        <x:v>204</x:v>
      </x:c>
      <x:c r="G7" s="43" t="s">
        <x:v>204</x:v>
      </x:c>
      <x:c r="H7" s="43" t="s">
        <x:v>204</x:v>
      </x:c>
      <x:c r="I7" s="43" t="s">
        <x:v>204</x:v>
      </x:c>
      <x:c r="J7" s="43" t="s">
        <x:v>204</x:v>
      </x:c>
    </x:row>
    <x:row r="8" ht="15" customHeight="1">
      <x:c r="B8" s="61">
        <x:v>4</x:v>
      </x:c>
      <x:c r="C8" s="61" t="str">
        <x:v>404 Demo Parkway, Sample City</x:v>
      </x:c>
      <x:c r="D8" s="84">
        <x:v>13.5</x:v>
      </x:c>
      <x:c r="E8" s="46" t="s">
        <x:v>204</x:v>
      </x:c>
      <x:c r="F8" s="46" t="s">
        <x:v>204</x:v>
      </x:c>
      <x:c r="G8" s="46" t="s">
        <x:v>204</x:v>
      </x:c>
      <x:c r="H8" s="105" t="s">
        <x:v>205</x:v>
      </x:c>
      <x:c r="I8" s="106" t="s">
        <x:v>206</x:v>
      </x:c>
      <x:c r="J8" s="46" t="s">
        <x:v>204</x:v>
      </x:c>
    </x:row>
    <x:row r="9" ht="15" customHeight="1">
      <x:c r="B9" s="59">
        <x:v>5</x:v>
      </x:c>
      <x:c r="C9" s="59" t="str">
        <x:v>505 Fictional Road, Sample City</x:v>
      </x:c>
      <x:c r="D9" s="81">
        <x:v>15</x:v>
      </x:c>
      <x:c r="E9" s="43" t="s">
        <x:v>204</x:v>
      </x:c>
      <x:c r="F9" s="43" t="s">
        <x:v>204</x:v>
      </x:c>
      <x:c r="G9" s="43" t="s">
        <x:v>204</x:v>
      </x:c>
      <x:c r="H9" s="43" t="s">
        <x:v>204</x:v>
      </x:c>
      <x:c r="I9" s="43" t="s">
        <x:v>204</x:v>
      </x:c>
      <x:c r="J9" s="105" t="s">
        <x:v>205</x:v>
      </x:c>
    </x:row>
    <x:row r="10" ht="15" customHeight="1">
      <x:c r="B10" s="61">
        <x:v>6</x:v>
      </x:c>
      <x:c r="C10" s="61" t="str">
        <x:v>606 Prototype Boulevard, Example Heights</x:v>
      </x:c>
      <x:c r="D10" s="84">
        <x:v>16</x:v>
      </x:c>
      <x:c r="E10" s="105" t="s">
        <x:v>205</x:v>
      </x:c>
      <x:c r="F10" s="105" t="s">
        <x:v>205</x:v>
      </x:c>
      <x:c r="G10" s="46" t="s">
        <x:v>204</x:v>
      </x:c>
      <x:c r="H10" s="105" t="s">
        <x:v>205</x:v>
      </x:c>
      <x:c r="I10" s="106" t="s">
        <x:v>206</x:v>
      </x:c>
      <x:c r="J10" s="105" t="s">
        <x:v>205</x:v>
      </x:c>
    </x:row>
    <x:row r="11" ht="15" customHeight="1">
      <x:c r="B11" s="59">
        <x:v>7</x:v>
      </x:c>
      <x:c r="C11" s="59" t="str">
        <x:v>707 Scenario Drive, Demo Hills</x:v>
      </x:c>
      <x:c r="D11" s="81">
        <x:v>12.5</x:v>
      </x:c>
      <x:c r="E11" s="106" t="s">
        <x:v>206</x:v>
      </x:c>
      <x:c r="F11" s="43" t="s">
        <x:v>204</x:v>
      </x:c>
      <x:c r="G11" s="43" t="s">
        <x:v>204</x:v>
      </x:c>
      <x:c r="H11" s="43" t="s">
        <x:v>204</x:v>
      </x:c>
      <x:c r="I11" s="43" t="s">
        <x:v>204</x:v>
      </x:c>
      <x:c r="J11" s="106" t="s">
        <x:v>206</x:v>
      </x:c>
    </x:row>
    <x:row r="12" ht="15" customHeight="1">
      <x:c r="B12" s="61">
        <x:v>8</x:v>
      </x:c>
      <x:c r="C12" s="61" t="str">
        <x:v>808 Placeholder Lane, Sample City</x:v>
      </x:c>
      <x:c r="D12" s="84">
        <x:v>15.17</x:v>
      </x:c>
      <x:c r="E12" s="46" t="s">
        <x:v>204</x:v>
      </x:c>
      <x:c r="F12" s="105" t="s">
        <x:v>205</x:v>
      </x:c>
      <x:c r="G12" s="105" t="s">
        <x:v>205</x:v>
      </x:c>
      <x:c r="H12" s="106" t="s">
        <x:v>206</x:v>
      </x:c>
      <x:c r="I12" s="46" t="s">
        <x:v>204</x:v>
      </x:c>
      <x:c r="J12" s="105" t="s">
        <x:v>205</x:v>
      </x:c>
    </x:row>
    <x:row r="13" ht="15" customHeight="1">
      <x:c r="B13" s="59">
        <x:v>9</x:v>
      </x:c>
      <x:c r="C13" s="59" t="str">
        <x:v>909 Test Ridge Road, Demo Hills</x:v>
      </x:c>
      <x:c r="D13" s="81">
        <x:v>17</x:v>
      </x:c>
      <x:c r="E13" s="43" t="s">
        <x:v>204</x:v>
      </x:c>
      <x:c r="F13" s="43" t="s">
        <x:v>204</x:v>
      </x:c>
      <x:c r="G13" s="43" t="s">
        <x:v>204</x:v>
      </x:c>
      <x:c r="H13" s="105" t="s">
        <x:v>205</x:v>
      </x:c>
      <x:c r="I13" s="43" t="s">
        <x:v>204</x:v>
      </x:c>
      <x:c r="J13" s="105" t="s">
        <x:v>205</x:v>
      </x:c>
    </x:row>
    <x:row r="14" ht="15" customHeight="1">
      <x:c r="B14" s="61">
        <x:v>10</x:v>
      </x:c>
      <x:c r="C14" s="61" t="str">
        <x:v>1010 Sample Park South, Example Heights</x:v>
      </x:c>
      <x:c r="D14" s="84">
        <x:v>15.9</x:v>
      </x:c>
      <x:c r="E14" s="105" t="s">
        <x:v>205</x:v>
      </x:c>
      <x:c r="F14" s="105" t="s">
        <x:v>205</x:v>
      </x:c>
      <x:c r="G14" s="46" t="s">
        <x:v>204</x:v>
      </x:c>
      <x:c r="H14" s="106" t="s">
        <x:v>206</x:v>
      </x:c>
      <x:c r="I14" s="106" t="s">
        <x:v>206</x:v>
      </x:c>
      <x:c r="J14" s="105" t="s">
        <x:v>205</x:v>
      </x:c>
    </x:row>
    <x:row r="15" ht="15" customHeight="1">
      <x:c r="B15" s="59">
        <x:v>11</x:v>
      </x:c>
      <x:c r="C15" s="59" t="str">
        <x:v>1111 Demo Beacon Way, Sample City</x:v>
      </x:c>
      <x:c r="D15" s="81">
        <x:v>13.5</x:v>
      </x:c>
      <x:c r="E15" s="43" t="s">
        <x:v>204</x:v>
      </x:c>
      <x:c r="F15" s="43" t="s">
        <x:v>204</x:v>
      </x:c>
      <x:c r="G15" s="43" t="s">
        <x:v>204</x:v>
      </x:c>
      <x:c r="H15" s="105" t="s">
        <x:v>205</x:v>
      </x:c>
      <x:c r="I15" s="106" t="s">
        <x:v>206</x:v>
      </x:c>
      <x:c r="J15" s="43" t="s">
        <x:v>204</x:v>
      </x:c>
    </x:row>
    <x:row r="16" ht="15" customHeight="1">
      <x:c r="B16" s="61">
        <x:v>12</x:v>
      </x:c>
      <x:c r="C16" s="61" t="str">
        <x:v>1212 Example Highway, Demo Hills</x:v>
      </x:c>
      <x:c r="D16" s="84">
        <x:v>11</x:v>
      </x:c>
      <x:c r="E16" s="106" t="s">
        <x:v>206</x:v>
      </x:c>
      <x:c r="F16" s="46" t="s">
        <x:v>204</x:v>
      </x:c>
      <x:c r="G16" s="46" t="s">
        <x:v>204</x:v>
      </x:c>
      <x:c r="H16" s="105" t="s">
        <x:v>205</x:v>
      </x:c>
      <x:c r="I16" s="106" t="s">
        <x:v>206</x:v>
      </x:c>
      <x:c r="J16" s="106" t="s">
        <x:v>206</x:v>
      </x:c>
    </x:row>
    <x:row r="17" ht="6" customHeight="1"/>
    <x:row r="18" ht="18" customHeight="1">
      <x:c r="B18" s="149" t="s">
        <x:v>425</x:v>
      </x:c>
      <x:c r="C18" s="150"/>
      <x:c r="D18" s="150"/>
      <x:c r="E18" s="150"/>
      <x:c r="F18" s="150"/>
      <x:c r="G18" s="150"/>
      <x:c r="H18" s="150"/>
      <x:c r="I18" s="150"/>
      <x:c r="J18" s="151"/>
    </x:row>
    <x:row r="19" ht="15" customHeight="1">
      <x:c r="B19" s="59" t="s">
        <x:v>426</x:v>
      </x:c>
      <x:c r="C19" s="59" t="s">
        <x:v>427</x:v>
      </x:c>
      <x:c r="D19" s="59"/>
      <x:c r="E19" s="59"/>
      <x:c r="F19" s="59"/>
      <x:c r="G19" s="59"/>
      <x:c r="H19" s="59"/>
      <x:c r="I19" s="59"/>
      <x:c r="J19" s="59"/>
    </x:row>
    <x:row r="20" ht="15" customHeight="1">
      <x:c r="B20" s="61" t="s">
        <x:v>428</x:v>
      </x:c>
      <x:c r="C20" s="61" t="s">
        <x:v>429</x:v>
      </x:c>
      <x:c r="D20" s="61"/>
      <x:c r="E20" s="61"/>
      <x:c r="F20" s="61"/>
      <x:c r="G20" s="61"/>
      <x:c r="H20" s="61"/>
      <x:c r="I20" s="61"/>
      <x:c r="J20" s="61"/>
    </x:row>
    <x:row r="21" ht="15" customHeight="1">
      <x:c r="B21" s="59" t="s">
        <x:v>430</x:v>
      </x:c>
      <x:c r="C21" s="59" t="s">
        <x:v>431</x:v>
      </x:c>
      <x:c r="D21" s="59"/>
      <x:c r="E21" s="59"/>
      <x:c r="F21" s="59"/>
      <x:c r="G21" s="59"/>
      <x:c r="H21" s="59"/>
      <x:c r="I21" s="59"/>
      <x:c r="J21" s="59"/>
    </x:row>
    <x:row r="22" ht="15" customHeight="1">
      <x:c r="B22" s="61" t="s">
        <x:v>432</x:v>
      </x:c>
      <x:c r="C22" s="61" t="s">
        <x:v>433</x:v>
      </x:c>
      <x:c r="D22" s="61"/>
      <x:c r="E22" s="61"/>
      <x:c r="F22" s="61"/>
      <x:c r="G22" s="61"/>
      <x:c r="H22" s="61"/>
      <x:c r="I22" s="61"/>
      <x:c r="J22" s="61"/>
    </x:row>
    <x:row r="23" ht="15" customHeight="1">
      <x:c r="B23" s="59" t="s">
        <x:v>434</x:v>
      </x:c>
      <x:c r="C23" s="59" t="s">
        <x:v>435</x:v>
      </x:c>
      <x:c r="D23" s="59"/>
      <x:c r="E23" s="59"/>
      <x:c r="F23" s="59"/>
      <x:c r="G23" s="59"/>
      <x:c r="H23" s="59"/>
      <x:c r="I23" s="59"/>
      <x:c r="J23" s="59"/>
    </x:row>
    <x:row r="24" ht="6" customHeight="1"/>
    <x:row r="25" ht="13.949999809265137" customHeight="1">
      <x:c r="B25" s="65" t="s">
        <x:v>436</x:v>
      </x:c>
      <x:c r="C25" s="65" t="s">
        <x:v>205</x:v>
      </x:c>
      <x:c r="D25" s="65" t="s">
        <x:v>204</x:v>
      </x:c>
      <x:c r="E25" s="65" t="s">
        <x:v>206</x:v>
      </x:c>
      <x:c r="F25" s="65"/>
      <x:c r="G25" s="65"/>
      <x:c r="H25" s="65"/>
      <x:c r="I25" s="65"/>
      <x:c r="J25" s="65"/>
    </x:row>
  </x:sheetData>
  <x:mergeCells>
    <x:mergeCell ref="B18:J18"/>
    <x:mergeCell ref="B3:J3"/>
    <x:mergeCell ref="B2:J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8" customWidth="1"/>
    <x:col min="3" max="3" width="28" customWidth="1"/>
    <x:col min="4" max="4" width="12" customWidth="1"/>
    <x:col min="5" max="7" width="14" customWidth="1"/>
    <x:col min="8" max="10" width="12" customWidth="1"/>
  </x:cols>
  <x:sheetData>
    <x:row r="1" ht="6" customHeight="1"/>
    <x:row r="2" ht="18" customHeight="1">
      <x:c r="B2" s="149" t="s">
        <x:v>437</x:v>
      </x:c>
      <x:c r="C2" s="150"/>
      <x:c r="D2" s="150"/>
      <x:c r="E2" s="150"/>
      <x:c r="F2" s="150"/>
      <x:c r="G2" s="150"/>
      <x:c r="H2" s="150"/>
      <x:c r="I2" s="150"/>
      <x:c r="J2" s="151"/>
    </x:row>
    <x:row r="3" ht="16.049999237060547" customHeight="1">
      <x:c r="B3" s="39" t="s">
        <x:v>382</x:v>
      </x:c>
      <x:c r="C3" s="39" t="s">
        <x:v>383</x:v>
      </x:c>
      <x:c r="D3" s="39" t="s">
        <x:v>384</x:v>
      </x:c>
      <x:c r="E3" s="39" t="s">
        <x:v>438</x:v>
      </x:c>
      <x:c r="F3" s="39" t="s">
        <x:v>439</x:v>
      </x:c>
      <x:c r="G3" s="39" t="s">
        <x:v>406</x:v>
      </x:c>
      <x:c r="H3" s="39" t="s">
        <x:v>440</x:v>
      </x:c>
      <x:c r="I3" s="39" t="s">
        <x:v>441</x:v>
      </x:c>
      <x:c r="J3" s="39"/>
    </x:row>
    <x:row r="4" ht="16.049999237060547" customHeight="1">
      <x:c r="B4" s="39" t="s">
        <x:v>382</x:v>
      </x:c>
      <x:c r="C4" s="39" t="s">
        <x:v>383</x:v>
      </x:c>
      <x:c r="D4" s="77" t="s">
        <x:v>384</x:v>
      </x:c>
      <x:c r="E4" s="78" t="s">
        <x:v>438</x:v>
      </x:c>
      <x:c r="F4" s="78" t="s">
        <x:v>439</x:v>
      </x:c>
      <x:c r="G4" s="78" t="s">
        <x:v>406</x:v>
      </x:c>
      <x:c r="H4" s="107" t="s">
        <x:v>442</x:v>
      </x:c>
      <x:c r="I4" s="107" t="s">
        <x:v>443</x:v>
      </x:c>
      <x:c r="J4" s="39"/>
    </x:row>
    <x:row r="5" ht="15" customHeight="1">
      <x:c r="B5" s="59">
        <x:v>100</x:v>
      </x:c>
      <x:c r="C5" s="59" t="s">
        <x:v>390</x:v>
      </x:c>
      <x:c r="D5" s="80">
        <x:v>2193</x:v>
      </x:c>
      <x:c r="E5" s="81">
        <x:v>0</x:v>
      </x:c>
      <x:c r="F5" s="81">
        <x:v>0</x:v>
      </x:c>
      <x:c r="G5" s="81">
        <x:v>0</x:v>
      </x:c>
      <x:c r="H5" s="102" t="s">
        <x:v>359</x:v>
      </x:c>
      <x:c r="I5" s="102" t="s">
        <x:v>359</x:v>
      </x:c>
      <x:c r="J5" s="60"/>
    </x:row>
    <x:row r="6" ht="15" customHeight="1">
      <x:c r="B6" s="61">
        <x:v>103</x:v>
      </x:c>
      <x:c r="C6" s="61" t="str">
        <x:v>Tenant Alpha, LLC</x:v>
      </x:c>
      <x:c r="D6" s="83">
        <x:v>1027</x:v>
      </x:c>
      <x:c r="E6" s="84">
        <x:v>842.14</x:v>
      </x:c>
      <x:c r="F6" s="84">
        <x:v>10105.68</x:v>
      </x:c>
      <x:c r="G6" s="84">
        <x:v>9.84</x:v>
      </x:c>
      <x:c r="H6" s="103">
        <x:v>44713</x:v>
      </x:c>
      <x:c r="I6" s="103">
        <x:v>46173</x:v>
      </x:c>
      <x:c r="J6" s="62"/>
    </x:row>
    <x:row r="7" ht="15" customHeight="1">
      <x:c r="B7" s="59">
        <x:v>105</x:v>
      </x:c>
      <x:c r="C7" s="59" t="str">
        <x:v>Tenant Beta, LLC</x:v>
      </x:c>
      <x:c r="D7" s="80">
        <x:v>1593</x:v>
      </x:c>
      <x:c r="E7" s="81">
        <x:v>1593</x:v>
      </x:c>
      <x:c r="F7" s="81">
        <x:v>19116</x:v>
      </x:c>
      <x:c r="G7" s="81">
        <x:v>12</x:v>
      </x:c>
      <x:c r="H7" s="102">
        <x:v>42736</x:v>
      </x:c>
      <x:c r="I7" s="102">
        <x:v>44561</x:v>
      </x:c>
      <x:c r="J7" s="60"/>
    </x:row>
    <x:row r="8" ht="15" customHeight="1">
      <x:c r="B8" s="61">
        <x:v>106</x:v>
      </x:c>
      <x:c r="C8" s="61" t="str">
        <x:v>Tenant Gamma, LLC</x:v>
      </x:c>
      <x:c r="D8" s="83">
        <x:v>718</x:v>
      </x:c>
      <x:c r="E8" s="84">
        <x:v>750</x:v>
      </x:c>
      <x:c r="F8" s="84">
        <x:v>9000</x:v>
      </x:c>
      <x:c r="G8" s="84">
        <x:v>12.534818941504181</x:v>
      </x:c>
      <x:c r="H8" s="103">
        <x:v>44378</x:v>
      </x:c>
      <x:c r="I8" s="103">
        <x:v>46630</x:v>
      </x:c>
      <x:c r="J8" s="62"/>
    </x:row>
    <x:row r="9" ht="15" customHeight="1">
      <x:c r="B9" s="59">
        <x:v>107</x:v>
      </x:c>
      <x:c r="C9" s="59" t="str">
        <x:v>Tenant Delta, LLC</x:v>
      </x:c>
      <x:c r="D9" s="80">
        <x:v>1196</x:v>
      </x:c>
      <x:c r="E9" s="81">
        <x:v>1362.44</x:v>
      </x:c>
      <x:c r="F9" s="81">
        <x:v>16349.28</x:v>
      </x:c>
      <x:c r="G9" s="81">
        <x:v>13.669966555183951</x:v>
      </x:c>
      <x:c r="H9" s="102">
        <x:v>45292</x:v>
      </x:c>
      <x:c r="I9" s="102">
        <x:v>46387</x:v>
      </x:c>
      <x:c r="J9" s="60"/>
    </x:row>
    <x:row r="10" ht="15" customHeight="1">
      <x:c r="B10" s="61">
        <x:v>108</x:v>
      </x:c>
      <x:c r="C10" s="61" t="str">
        <x:v>Tenant Gamma, LLC</x:v>
      </x:c>
      <x:c r="D10" s="83">
        <x:v>567</x:v>
      </x:c>
      <x:c r="E10" s="84">
        <x:v>614.25</x:v>
      </x:c>
      <x:c r="F10" s="84">
        <x:v>7371</x:v>
      </x:c>
      <x:c r="G10" s="84">
        <x:v>13</x:v>
      </x:c>
      <x:c r="H10" s="103">
        <x:v>45413</x:v>
      </x:c>
      <x:c r="I10" s="103">
        <x:v>46507</x:v>
      </x:c>
      <x:c r="J10" s="62"/>
    </x:row>
    <x:row r="11" ht="15" customHeight="1">
      <x:c r="B11" s="59">
        <x:v>110</x:v>
      </x:c>
      <x:c r="C11" s="59" t="str">
        <x:v>Tenant Gamma, LLC</x:v>
      </x:c>
      <x:c r="D11" s="80">
        <x:v>568</x:v>
      </x:c>
      <x:c r="E11" s="81">
        <x:v>500</x:v>
      </x:c>
      <x:c r="F11" s="81">
        <x:v>6000</x:v>
      </x:c>
      <x:c r="G11" s="81">
        <x:v>10.56338028169014</x:v>
      </x:c>
      <x:c r="H11" s="102">
        <x:v>44440</x:v>
      </x:c>
      <x:c r="I11" s="102">
        <x:v>46630</x:v>
      </x:c>
      <x:c r="J11" s="60"/>
    </x:row>
    <x:row r="12" ht="15" customHeight="1">
      <x:c r="B12" s="61" t="s">
        <x:v>399</x:v>
      </x:c>
      <x:c r="C12" s="61" t="str">
        <x:v>Tenant Epsilon, LLC</x:v>
      </x:c>
      <x:c r="D12" s="83">
        <x:v>1601</x:v>
      </x:c>
      <x:c r="E12" s="84">
        <x:v>1591.81</x:v>
      </x:c>
      <x:c r="F12" s="84">
        <x:v>19101.72</x:v>
      </x:c>
      <x:c r="G12" s="84">
        <x:v>11.93111805121799</x:v>
      </x:c>
      <x:c r="H12" s="103">
        <x:v>45931</x:v>
      </x:c>
      <x:c r="I12" s="103">
        <x:v>47026</x:v>
      </x:c>
      <x:c r="J12" s="62"/>
    </x:row>
    <x:row r="13" ht="15" customHeight="1">
      <x:c r="B13" s="59">
        <x:v>200</x:v>
      </x:c>
      <x:c r="C13" s="59" t="str">
        <x:v>Northstar Example Holdings, LLC</x:v>
      </x:c>
      <x:c r="D13" s="80">
        <x:v>10920</x:v>
      </x:c>
      <x:c r="E13" s="81">
        <x:v>0</x:v>
      </x:c>
      <x:c r="F13" s="81">
        <x:v>0</x:v>
      </x:c>
      <x:c r="G13" s="81">
        <x:v>0</x:v>
      </x:c>
      <x:c r="H13" s="102" t="s">
        <x:v>359</x:v>
      </x:c>
      <x:c r="I13" s="102" t="s">
        <x:v>359</x:v>
      </x:c>
      <x:c r="J13" s="60"/>
    </x:row>
    <x:row r="14" ht="16.049999237060547" customHeight="1">
      <x:c r="B14" s="63" t="s">
        <x:v>444</x:v>
      </x:c>
      <x:c r="C14" s="64"/>
      <x:c r="D14" s="98">
        <x:v>20383</x:v>
      </x:c>
      <x:c r="E14" s="104">
        <x:v>87043.68</x:v>
      </x:c>
      <x:c r="F14" s="104">
        <x:v>4.2704057302654173</x:v>
      </x:c>
      <x:c r="G14" s="64"/>
      <x:c r="H14" s="64"/>
      <x:c r="I14" s="64"/>
      <x:c r="J14" s="64"/>
    </x:row>
    <x:row r="15" ht="15" customHeight="1">
      <x:c r="B15" s="65"/>
      <x:c r="C15" s="66" t="s">
        <x:v>445</x:v>
      </x:c>
      <x:c r="D15" s="108">
        <x:v>7270</x:v>
      </x:c>
      <x:c r="E15" s="109">
        <x:v>87043.68</x:v>
      </x:c>
      <x:c r="F15" s="109">
        <x:v>11.97299587345254</x:v>
      </x:c>
      <x:c r="G15" s="67"/>
      <x:c r="H15" s="66"/>
      <x:c r="I15" s="66"/>
      <x:c r="J15" s="66"/>
    </x:row>
  </x:sheetData>
  <x:mergeCells>
    <x:mergeCell ref="B2:J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26" customWidth="1"/>
    <x:col min="3" max="3" width="14" customWidth="1"/>
    <x:col min="4" max="4" width="16" customWidth="1"/>
    <x:col min="5" max="5" width="14" customWidth="1"/>
    <x:col min="6" max="7" width="16" customWidth="1"/>
    <x:col min="8" max="9" width="12" customWidth="1"/>
  </x:cols>
  <x:sheetData>
    <x:row r="1" ht="6" customHeight="1"/>
    <x:row r="2" ht="18" customHeight="1">
      <x:c r="B2" s="149" t="s">
        <x:v>446</x:v>
      </x:c>
      <x:c r="C2" s="150"/>
      <x:c r="D2" s="150"/>
      <x:c r="E2" s="150"/>
      <x:c r="F2" s="150"/>
      <x:c r="G2" s="150"/>
      <x:c r="H2" s="150"/>
      <x:c r="I2" s="151"/>
    </x:row>
    <x:row r="3" ht="28.049999237060547" customHeight="1">
      <x:c r="B3" s="154" t="s">
        <x:v>447</x:v>
      </x:c>
      <x:c r="C3" s="150"/>
      <x:c r="D3" s="150"/>
      <x:c r="E3" s="150"/>
      <x:c r="F3" s="150"/>
      <x:c r="G3" s="150"/>
      <x:c r="H3" s="150"/>
      <x:c r="I3" s="151"/>
    </x:row>
    <x:row r="4" ht="6" customHeight="1"/>
    <x:row r="5" ht="30" customHeight="1">
      <x:c r="B5" s="39" t="s">
        <x:v>448</x:v>
      </x:c>
      <x:c r="C5" s="39" t="str">
        <x:v>Demo North
$/SF</x:v>
      </x:c>
      <x:c r="D5" s="39" t="str">
        <x:v>Demo North
Subj. Estimate</x:v>
      </x:c>
      <x:c r="E5" s="39" t="str">
        <x:v>Test Metro Mkt
$/SF</x:v>
      </x:c>
      <x:c r="F5" s="39" t="str">
        <x:v>Test Metro Mkt
Subj. Estimate</x:v>
      </x:c>
      <x:c r="G5" s="39" t="s">
        <x:v>449</x:v>
      </x:c>
      <x:c r="H5" s="39" t="s">
        <x:v>450</x:v>
      </x:c>
      <x:c r="I5" s="39"/>
    </x:row>
    <x:row r="6" ht="15" customHeight="1">
      <x:c r="B6" s="59" t="s">
        <x:v>451</x:v>
      </x:c>
      <x:c r="C6" s="81">
        <x:v>0.36</x:v>
      </x:c>
      <x:c r="D6" s="81">
        <x:v>8160.48</x:v>
      </x:c>
      <x:c r="E6" s="81">
        <x:v>0.62</x:v>
      </x:c>
      <x:c r="F6" s="81">
        <x:v>14054.16</x:v>
      </x:c>
      <x:c r="G6" s="110" t="s">
        <x:v>452</x:v>
      </x:c>
      <x:c r="H6" s="60" t="s">
        <x:v>453</x:v>
      </x:c>
      <x:c r="I6" s="60"/>
    </x:row>
    <x:row r="7" ht="15" customHeight="1">
      <x:c r="B7" s="61" t="s">
        <x:v>454</x:v>
      </x:c>
      <x:c r="C7" s="84">
        <x:v>0.89</x:v>
      </x:c>
      <x:c r="D7" s="84">
        <x:v>20174.52</x:v>
      </x:c>
      <x:c r="E7" s="84">
        <x:v>1.01</x:v>
      </x:c>
      <x:c r="F7" s="84">
        <x:v>22894.68</x:v>
      </x:c>
      <x:c r="G7" s="110">
        <x:v>1.2717000000000001</x:v>
      </x:c>
      <x:c r="H7" s="91">
        <x:v>28827</x:v>
      </x:c>
      <x:c r="I7" s="62"/>
    </x:row>
    <x:row r="8" ht="15" customHeight="1">
      <x:c r="B8" s="59" t="s">
        <x:v>455</x:v>
      </x:c>
      <x:c r="C8" s="81">
        <x:v>0.47</x:v>
      </x:c>
      <x:c r="D8" s="81">
        <x:v>10653.96</x:v>
      </x:c>
      <x:c r="E8" s="81">
        <x:v>0.25</x:v>
      </x:c>
      <x:c r="F8" s="81">
        <x:v>5667</x:v>
      </x:c>
      <x:c r="G8" s="110">
        <x:v>0.33090000000000003</x:v>
      </x:c>
      <x:c r="H8" s="88">
        <x:v>7500</x:v>
      </x:c>
      <x:c r="I8" s="60"/>
    </x:row>
    <x:row r="9" ht="15" customHeight="1">
      <x:c r="B9" s="61" t="s">
        <x:v>456</x:v>
      </x:c>
      <x:c r="C9" s="84">
        <x:v>2.38</x:v>
      </x:c>
      <x:c r="D9" s="84">
        <x:v>53949.84</x:v>
      </x:c>
      <x:c r="E9" s="84">
        <x:v>2.34</x:v>
      </x:c>
      <x:c r="F9" s="84">
        <x:v>53043.12</x:v>
      </x:c>
      <x:c r="G9" s="110">
        <x:v>2.3159999999999998</x:v>
      </x:c>
      <x:c r="H9" s="91">
        <x:v>52500</x:v>
      </x:c>
      <x:c r="I9" s="62"/>
    </x:row>
    <x:row r="10" ht="15" customHeight="1">
      <x:c r="B10" s="59" t="s">
        <x:v>457</x:v>
      </x:c>
      <x:c r="C10" s="81">
        <x:v>1.94</x:v>
      </x:c>
      <x:c r="D10" s="81">
        <x:v>43975.92</x:v>
      </x:c>
      <x:c r="E10" s="81">
        <x:v>0.97</x:v>
      </x:c>
      <x:c r="F10" s="81">
        <x:v>21987.96</x:v>
      </x:c>
      <x:c r="G10" s="110">
        <x:v>0.99260000000000004</x:v>
      </x:c>
      <x:c r="H10" s="88">
        <x:v>22500</x:v>
      </x:c>
      <x:c r="I10" s="60"/>
    </x:row>
    <x:row r="11" ht="15" customHeight="1">
      <x:c r="B11" s="61" t="s">
        <x:v>458</x:v>
      </x:c>
      <x:c r="C11" s="84">
        <x:v>7.0000000000000007E-2</x:v>
      </x:c>
      <x:c r="D11" s="84">
        <x:v>1586.76</x:v>
      </x:c>
      <x:c r="E11" s="84">
        <x:v>7.0000000000000007E-2</x:v>
      </x:c>
      <x:c r="F11" s="84">
        <x:v>1586.76</x:v>
      </x:c>
      <x:c r="G11" s="110">
        <x:v>6.6199999999999995E-2</x:v>
      </x:c>
      <x:c r="H11" s="91">
        <x:v>1500</x:v>
      </x:c>
      <x:c r="I11" s="62"/>
    </x:row>
    <x:row r="12" ht="15" customHeight="1">
      <x:c r="B12" s="59" t="s">
        <x:v>459</x:v>
      </x:c>
      <x:c r="C12" s="81">
        <x:v>0.04</x:v>
      </x:c>
      <x:c r="D12" s="81">
        <x:v>906.72</x:v>
      </x:c>
      <x:c r="E12" s="81">
        <x:v>0.04</x:v>
      </x:c>
      <x:c r="F12" s="81">
        <x:v>906.72</x:v>
      </x:c>
      <x:c r="G12" s="110">
        <x:v>4.41E-2</x:v>
      </x:c>
      <x:c r="H12" s="88">
        <x:v>1000</x:v>
      </x:c>
      <x:c r="I12" s="60"/>
    </x:row>
    <x:row r="13" ht="16.049999237060547" customHeight="1">
      <x:c r="B13" s="63" t="s">
        <x:v>402</x:v>
      </x:c>
      <x:c r="C13" s="64"/>
      <x:c r="D13" s="99" t="n">
        <x:f>SUM(D6:D12)</x:f>
        <x:v>139408.19999999998</x:v>
      </x:c>
      <x:c r="E13" s="64"/>
      <x:c r="F13" s="99" t="n">
        <x:f>SUM(F6:F12)</x:f>
        <x:v>120140.39999999998</x:v>
      </x:c>
      <x:c r="G13" s="64"/>
      <x:c r="H13" s="99" t="n">
        <x:f>SUM(H6:H12)</x:f>
        <x:v>113827</x:v>
      </x:c>
      <x:c r="I13" s="64"/>
    </x:row>
    <x:row r="14" ht="28.049999237060547" customHeight="1">
      <x:c r="B14" s="155" t="s">
        <x:v>460</x:v>
      </x:c>
      <x:c r="C14" s="150"/>
      <x:c r="D14" s="150"/>
      <x:c r="E14" s="150"/>
      <x:c r="F14" s="150"/>
      <x:c r="G14" s="150"/>
      <x:c r="H14" s="150"/>
      <x:c r="I14" s="151"/>
    </x:row>
  </x:sheetData>
  <x:mergeCells>
    <x:mergeCell ref="B3:I3"/>
    <x:mergeCell ref="B14:I14"/>
    <x:mergeCell ref="B2:I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36" customWidth="1"/>
    <x:col min="3" max="4" width="16" customWidth="1"/>
    <x:col min="5" max="5" width="12" customWidth="1"/>
  </x:cols>
  <x:sheetData>
    <x:row r="1" ht="6" customHeight="1"/>
    <x:row r="2" ht="18" customHeight="1">
      <x:c r="B2" s="149" t="s">
        <x:v>461</x:v>
      </x:c>
      <x:c r="C2" s="150"/>
      <x:c r="D2" s="150"/>
      <x:c r="E2" s="151"/>
    </x:row>
    <x:row r="3" ht="16.049999237060547" customHeight="1">
      <x:c r="B3" s="39" t="s">
        <x:v>462</x:v>
      </x:c>
      <x:c r="C3" s="39" t="s">
        <x:v>463</x:v>
      </x:c>
      <x:c r="D3" s="39" t="s">
        <x:v>329</x:v>
      </x:c>
      <x:c r="E3" s="39"/>
    </x:row>
    <x:row r="4" ht="15" customHeight="1">
      <x:c r="B4" s="65" t="s">
        <x:v>464</x:v>
      </x:c>
      <x:c r="C4" s="65"/>
      <x:c r="D4" s="65"/>
      <x:c r="E4" s="65"/>
    </x:row>
    <x:row r="5" ht="15" customHeight="1">
      <x:c r="B5" s="59" t="s">
        <x:v>465</x:v>
      </x:c>
      <x:c r="C5" s="111"/>
      <x:c r="D5" s="88" t="n">
        <x:f>pgi_calc!G17</x:f>
        <x:v>244596</x:v>
      </x:c>
      <x:c r="E5" s="60"/>
    </x:row>
    <x:row r="6" ht="15" customHeight="1">
      <x:c r="B6" s="61" t="s">
        <x:v>466</x:v>
      </x:c>
      <x:c r="C6" s="112"/>
      <x:c r="D6" s="113">
        <x:v>62797</x:v>
      </x:c>
      <x:c r="E6" s="62"/>
    </x:row>
    <x:row r="7" ht="15" customHeight="1">
      <x:c r="B7" s="59" t="s">
        <x:v>467</x:v>
      </x:c>
      <x:c r="C7" s="114">
        <x:v>0.2</x:v>
      </x:c>
      <x:c r="D7" s="88" t="n">
        <x:f>-C7*(D5+D6)</x:f>
        <x:v>-61478.600000000006</x:v>
      </x:c>
      <x:c r="E7" s="60"/>
    </x:row>
    <x:row r="8" ht="15" customHeight="1">
      <x:c r="B8" s="63" t="s">
        <x:v>468</x:v>
      </x:c>
      <x:c r="C8" s="115"/>
      <x:c r="D8" s="99" t="n">
        <x:f>D5+D6+D7</x:f>
        <x:v>245914.4</x:v>
      </x:c>
      <x:c r="E8" s="70"/>
    </x:row>
    <x:row r="9" ht="15" customHeight="1">
      <x:c r="B9" s="65" t="s">
        <x:v>469</x:v>
      </x:c>
      <x:c r="C9" s="65"/>
      <x:c r="D9" s="65"/>
      <x:c r="E9" s="65"/>
    </x:row>
    <x:row r="10" ht="15" customHeight="1">
      <x:c r="B10" s="59" t="s">
        <x:v>470</x:v>
      </x:c>
      <x:c r="C10" s="114">
        <x:v>0.06</x:v>
      </x:c>
      <x:c r="D10" s="88" t="n">
        <x:f>C10*D8</x:f>
        <x:v>14754.864</x:v>
      </x:c>
      <x:c r="E10" s="60"/>
    </x:row>
    <x:row r="11" ht="15" customHeight="1">
      <x:c r="B11" s="61" t="s">
        <x:v>471</x:v>
      </x:c>
      <x:c r="C11" s="112"/>
      <x:c r="D11" s="91" t="n">
        <x:f>expense_comp!H8</x:f>
        <x:v>7500</x:v>
      </x:c>
      <x:c r="E11" s="62"/>
    </x:row>
    <x:row r="12" ht="15" customHeight="1">
      <x:c r="B12" s="59" t="s">
        <x:v>472</x:v>
      </x:c>
      <x:c r="C12" s="111"/>
      <x:c r="D12" s="88" t="n">
        <x:f>expense_comp!H9</x:f>
        <x:v>52500</x:v>
      </x:c>
      <x:c r="E12" s="60"/>
    </x:row>
    <x:row r="13" ht="15" customHeight="1">
      <x:c r="B13" s="61" t="s">
        <x:v>473</x:v>
      </x:c>
      <x:c r="C13" s="112"/>
      <x:c r="D13" s="91" t="n">
        <x:f>expense_comp!H10</x:f>
        <x:v>22500</x:v>
      </x:c>
      <x:c r="E13" s="62"/>
    </x:row>
    <x:row r="14" ht="15" customHeight="1">
      <x:c r="B14" s="59" t="s">
        <x:v>474</x:v>
      </x:c>
      <x:c r="C14" s="111"/>
      <x:c r="D14" s="88" t="n">
        <x:f>expense_comp!H11</x:f>
        <x:v>1500</x:v>
      </x:c>
      <x:c r="E14" s="60"/>
    </x:row>
    <x:row r="15" ht="15" customHeight="1">
      <x:c r="B15" s="61" t="s">
        <x:v>475</x:v>
      </x:c>
      <x:c r="C15" s="112"/>
      <x:c r="D15" s="91" t="n">
        <x:f>expense_comp!H12</x:f>
        <x:v>1000</x:v>
      </x:c>
      <x:c r="E15" s="62"/>
    </x:row>
    <x:row r="16" ht="15" customHeight="1">
      <x:c r="B16" s="59" t="s">
        <x:v>476</x:v>
      </x:c>
      <x:c r="C16" s="111"/>
      <x:c r="D16" s="88" t="n">
        <x:f>expense_comp!H13</x:f>
        <x:v>113827</x:v>
      </x:c>
      <x:c r="E16" s="60"/>
    </x:row>
    <x:row r="17" ht="16.049999237060547" customHeight="1">
      <x:c r="B17" s="63" t="s">
        <x:v>477</x:v>
      </x:c>
      <x:c r="C17" s="116" t="n">
        <x:f>D17/D8</x:f>
        <x:v>0.8685211764744155</x:v>
      </x:c>
      <x:c r="D17" s="99" t="n">
        <x:f>SUM(D10:D16)</x:f>
        <x:v>213581.864</x:v>
      </x:c>
      <x:c r="E17" s="64"/>
    </x:row>
    <x:row r="18" ht="18" customHeight="1">
      <x:c r="B18" s="74" t="s">
        <x:v>478</x:v>
      </x:c>
      <x:c r="C18" s="48"/>
      <x:c r="D18" s="117" t="n">
        <x:f>D8-D17</x:f>
        <x:v>32332.535999999993</x:v>
      </x:c>
      <x:c r="E18" s="76"/>
    </x:row>
    <x:row r="19" ht="15" customHeight="1">
      <x:c r="B19" s="59" t="s">
        <x:v>479</x:v>
      </x:c>
      <x:c r="C19" s="118">
        <x:v>9.5000000000000001E-2</x:v>
      </x:c>
      <x:c r="D19" s="60"/>
      <x:c r="E19" s="60"/>
    </x:row>
    <x:row r="20" ht="18" customHeight="1">
      <x:c r="B20" s="74" t="s">
        <x:v>480</x:v>
      </x:c>
      <x:c r="C20" s="117" t="n">
        <x:f>D18/C19</x:f>
        <x:v>340342.4842105262</x:v>
      </x:c>
      <x:c r="D20" s="48"/>
      <x:c r="E20" s="76"/>
    </x:row>
    <x:row r="21" ht="16.049999237060547" customHeight="1">
      <x:c r="B21" s="63" t="s">
        <x:v>481</x:v>
      </x:c>
      <x:c r="C21" s="99" t="n">
        <x:f>ROUND(C20/25000,0)*25000</x:f>
        <x:v>350000</x:v>
      </x:c>
      <x:c r="D21" s="64"/>
      <x:c r="E21" s="64"/>
    </x:row>
    <x:row r="22" ht="13.949999809265137" customHeight="1">
      <x:c r="B22" s="155" t="s">
        <x:v>482</x:v>
      </x:c>
      <x:c r="C22" s="150"/>
      <x:c r="D22" s="150"/>
      <x:c r="E22" s="151"/>
    </x:row>
  </x:sheetData>
  <x:mergeCells>
    <x:mergeCell ref="B22:E22"/>
    <x:mergeCell ref="B2:E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ColWidth="8.6640625" defaultRowHeight="13.199999809265137"/>
  <x:cols>
    <x:col min="1" max="1" width="2" customWidth="1"/>
    <x:col min="2" max="2" width="22" customWidth="1"/>
    <x:col min="3" max="3" width="14" customWidth="1"/>
    <x:col min="4" max="4" width="24" customWidth="1"/>
    <x:col min="5" max="5" width="36" customWidth="1"/>
    <x:col min="6" max="6" width="13" customWidth="1"/>
    <x:col min="7" max="7" width="12" customWidth="1"/>
    <x:col min="8" max="11" width="11" customWidth="1"/>
    <x:col min="12" max="12" width="13" customWidth="1"/>
  </x:cols>
  <x:sheetData>
    <x:row r="2" ht="19.5" customHeight="1">
      <x:c r="B2" s="152" t="s">
        <x:v>483</x:v>
      </x:c>
      <x:c r="C2" s="153"/>
      <x:c r="D2" s="153"/>
      <x:c r="E2" s="153"/>
    </x:row>
    <x:row r="3" ht="15" customHeight="1">
      <x:c r="B3" s="2" t="s">
        <x:v>484</x:v>
      </x:c>
      <x:c r="C3" s="2" t="s">
        <x:v>485</x:v>
      </x:c>
      <x:c r="D3" s="2" t="s">
        <x:v>486</x:v>
      </x:c>
      <x:c r="E3" s="2" t="s">
        <x:v>222</x:v>
      </x:c>
    </x:row>
    <x:row r="4" ht="15" customHeight="1">
      <x:c r="B4" s="160" t="s">
        <x:v>487</x:v>
      </x:c>
      <x:c r="C4" s="153"/>
      <x:c r="D4" s="153"/>
      <x:c r="E4" s="153"/>
    </x:row>
    <x:row r="5" ht="15" customHeight="1">
      <x:c r="B5" s="11" t="s">
        <x:v>488</x:v>
      </x:c>
      <x:c r="C5" s="4" t="e">
        <x:f>MIN(sales!G9:G15)</x:f>
      </x:c>
      <x:c r="D5" s="5" t="e">
        <x:f t="shared" ref="D5:D10" si="0">"$"&amp;TEXT(C5,"#,##0.00")&amp;" per SF"</x:f>
      </x:c>
      <x:c r="E5" s="12" t="s">
        <x:v>489</x:v>
      </x:c>
    </x:row>
    <x:row r="6" ht="15" customHeight="1">
      <x:c r="B6" s="11" t="s">
        <x:v>490</x:v>
      </x:c>
      <x:c r="C6" s="4" t="e">
        <x:f>MAX(sales!G9:G15)</x:f>
      </x:c>
      <x:c r="D6" s="5" t="e">
        <x:f t="shared" si="0"/>
      </x:c>
      <x:c r="E6" s="12" t="s">
        <x:v>491</x:v>
      </x:c>
    </x:row>
    <x:row r="7" ht="15" customHeight="1">
      <x:c r="B7" s="11" t="s">
        <x:v>492</x:v>
      </x:c>
      <x:c r="C7" s="4" t="e">
        <x:f>MEDIAN(sales!G9:G15)</x:f>
      </x:c>
      <x:c r="D7" s="5" t="e">
        <x:f t="shared" si="0"/>
      </x:c>
      <x:c r="E7" s="12" t="s">
        <x:v>493</x:v>
      </x:c>
    </x:row>
    <x:row r="8" ht="15" customHeight="1">
      <x:c r="B8" s="11" t="s">
        <x:v>494</x:v>
      </x:c>
      <x:c r="C8" s="4" t="e">
        <x:f>MIN(sales!J20:J26)</x:f>
      </x:c>
      <x:c r="D8" s="5" t="e">
        <x:f t="shared" si="0"/>
      </x:c>
      <x:c r="E8" s="12" t="s">
        <x:v>495</x:v>
      </x:c>
    </x:row>
    <x:row r="9" ht="15" customHeight="1">
      <x:c r="B9" s="11" t="s">
        <x:v>496</x:v>
      </x:c>
      <x:c r="C9" s="4" t="e">
        <x:f>MAX(sales!J20:J26)</x:f>
      </x:c>
      <x:c r="D9" s="5" t="e">
        <x:f t="shared" si="0"/>
      </x:c>
      <x:c r="E9" s="12" t="s">
        <x:v>497</x:v>
      </x:c>
    </x:row>
    <x:row r="10" ht="15" customHeight="1">
      <x:c r="B10" s="11" t="s">
        <x:v>498</x:v>
      </x:c>
      <x:c r="C10" s="4" t="e">
        <x:f>MEDIAN(sales!J20:J26)</x:f>
      </x:c>
      <x:c r="D10" s="5" t="e">
        <x:f t="shared" si="0"/>
      </x:c>
      <x:c r="E10" s="12" t="s">
        <x:v>499</x:v>
      </x:c>
    </x:row>
    <x:row r="11" ht="15" customHeight="1">
      <x:c r="B11" s="160" t="s">
        <x:v>500</x:v>
      </x:c>
      <x:c r="C11" s="153"/>
      <x:c r="D11" s="153"/>
      <x:c r="E11" s="153"/>
    </x:row>
    <x:row r="12" ht="15" customHeight="1">
      <x:c r="B12" s="2" t="s">
        <x:v>484</x:v>
      </x:c>
      <x:c r="C12" s="2" t="s">
        <x:v>485</x:v>
      </x:c>
      <x:c r="D12" s="2" t="s">
        <x:v>486</x:v>
      </x:c>
      <x:c r="E12" s="2" t="s">
        <x:v>222</x:v>
      </x:c>
    </x:row>
    <x:row r="13" ht="15" customHeight="1">
      <x:c r="B13" s="11" t="s">
        <x:v>501</x:v>
      </x:c>
      <x:c r="C13" s="4" t="n">
        <x:f>sales!C56</x:f>
        <x:v>0</x:v>
      </x:c>
      <x:c r="D13" s="5" t="str">
        <x:f>"$"&amp;TEXT(C13,"#,##0.00")&amp;" per SF"</x:f>
        <x:v>$0.00 per SF</x:v>
      </x:c>
      <x:c r="E13" s="12" t="s">
        <x:v>502</x:v>
      </x:c>
    </x:row>
    <x:row r="14" ht="15" customHeight="1">
      <x:c r="B14" s="11" t="s">
        <x:v>107</x:v>
      </x:c>
      <x:c r="C14" s="8" t="n">
        <x:f>sales!D56</x:f>
        <x:v>0</x:v>
      </x:c>
      <x:c r="D14" s="5" t="str">
        <x:f>"$"&amp;TEXT(C14,"#,##0")</x:f>
        <x:v>$0</x:v>
      </x:c>
      <x:c r="E14" s="12" t="s">
        <x:v>503</x:v>
      </x:c>
    </x:row>
    <x:row r="15">
      <x:c r="B15" t="s">
        <x:v>504</x:v>
      </x:c>
    </x:row>
    <x:row r="16" ht="19.5" customHeight="1">
      <x:c r="B16" s="153" t="s">
        <x:v>505</x:v>
      </x:c>
      <x:c r="C16" s="153"/>
      <x:c r="D16" s="153"/>
      <x:c r="E16" s="153"/>
    </x:row>
    <x:row r="17" ht="15" customHeight="1">
      <x:c r="B17" t="s">
        <x:v>506</x:v>
      </x:c>
    </x:row>
    <x:row r="18" ht="15" customHeight="1">
      <x:c r="B18" s="153" t="s">
        <x:v>507</x:v>
      </x:c>
      <x:c r="C18" s="153"/>
      <x:c r="D18" s="153"/>
      <x:c r="E18" s="153"/>
    </x:row>
    <x:row r="19" ht="15" customHeight="1">
      <x:c r="B19" t="s">
        <x:v>508</x:v>
      </x:c>
    </x:row>
    <x:row r="20" ht="15" customHeight="1">
      <x:c r="B20" s="153" t="s">
        <x:v>509</x:v>
      </x:c>
      <x:c r="C20" s="153"/>
      <x:c r="D20" s="153"/>
      <x:c r="E20" s="153"/>
    </x:row>
    <x:row r="21" ht="15" customHeight="1">
      <x:c r="B21" t="s">
        <x:v>510</x:v>
      </x:c>
    </x:row>
    <x:row r="22" ht="15" customHeight="1">
      <x:c r="B22" t="s">
        <x:v>511</x:v>
      </x:c>
    </x:row>
    <x:row r="23">
      <x:c r="B23" t="s">
        <x:v>512</x:v>
      </x:c>
    </x:row>
    <x:row r="24">
      <x:c r="B24" t="s">
        <x:v>513</x:v>
      </x:c>
    </x:row>
    <x:row r="25" ht="19.5" customHeight="1">
      <x:c r="B25" s="153" t="s">
        <x:v>514</x:v>
      </x:c>
      <x:c r="C25" s="153"/>
      <x:c r="D25" s="153"/>
      <x:c r="E25" s="153"/>
    </x:row>
    <x:row r="26" ht="15" customHeight="1">
      <x:c r="B26" s="153" t="s">
        <x:v>515</x:v>
      </x:c>
      <x:c r="C26" s="153"/>
      <x:c r="D26" s="153"/>
      <x:c r="E26" s="153"/>
    </x:row>
    <x:row r="27" ht="15" customHeight="1">
      <x:c r="B27" t="s">
        <x:v>516</x:v>
      </x:c>
    </x:row>
    <x:row r="28" ht="15" customHeight="1"/>
    <x:row r="29" ht="15" customHeight="1">
      <x:c r="B29" s="1" t="s">
        <x:v>517</x:v>
      </x:c>
    </x:row>
    <x:row r="30" ht="15" customHeight="1">
      <x:c r="B30" s="2" t="s">
        <x:v>484</x:v>
      </x:c>
      <x:c r="C30" s="2" t="s">
        <x:v>485</x:v>
      </x:c>
      <x:c r="D30" s="2" t="s">
        <x:v>486</x:v>
      </x:c>
      <x:c r="E30" s="2" t="s">
        <x:v>222</x:v>
      </x:c>
    </x:row>
    <x:row r="31" ht="15" customHeight="1">
      <x:c r="B31" s="10" t="s">
        <x:v>518</x:v>
      </x:c>
    </x:row>
    <x:row r="32" ht="15" customHeight="1">
      <x:c r="B32" s="11" t="s">
        <x:v>519</x:v>
      </x:c>
      <x:c r="C32" s="13" t="n">
        <x:f>cap_rates!F8</x:f>
        <x:v>0.09</x:v>
      </x:c>
      <x:c r="D32" s="5" t="str">
        <x:f>TEXT(C19,"0.00%")</x:f>
      </x:c>
      <x:c r="E32" s="12" t="s">
        <x:v>520</x:v>
      </x:c>
    </x:row>
    <x:row r="33" ht="15" customHeight="1">
      <x:c r="B33" s="10" t="s">
        <x:v>521</x:v>
      </x:c>
    </x:row>
    <x:row r="34" ht="15" customHeight="1">
      <x:c r="B34" s="2" t="s">
        <x:v>484</x:v>
      </x:c>
      <x:c r="C34" s="2" t="s">
        <x:v>485</x:v>
      </x:c>
      <x:c r="D34" s="2" t="s">
        <x:v>486</x:v>
      </x:c>
      <x:c r="E34" s="2" t="s">
        <x:v>222</x:v>
      </x:c>
    </x:row>
    <x:row r="35">
      <x:c r="B35" s="11" t="s">
        <x:v>111</x:v>
      </x:c>
      <x:c r="C35" s="25" t="n">
        <x:f>income_summary!C19</x:f>
        <x:v>0.095</x:v>
      </x:c>
      <x:c r="D35" s="5" t="str">
        <x:f>TEXT(C22,"0.00%")</x:f>
      </x:c>
      <x:c r="E35" s="19" t="s">
        <x:v>522</x:v>
      </x:c>
    </x:row>
    <x:row r="36" ht="19.5" customHeight="1"/>
    <x:row r="37" ht="30" customHeight="1"/>
    <x:row r="38" ht="15" customHeight="1">
      <x:c r="B38" s="1" t="s">
        <x:v>523</x:v>
      </x:c>
    </x:row>
    <x:row r="39" ht="15" customHeight="1">
      <x:c r="B39" s="14" t="s">
        <x:v>524</x:v>
      </x:c>
    </x:row>
    <x:row r="40" ht="15" customHeight="1">
      <x:c r="B40" s="2" t="s">
        <x:v>265</x:v>
      </x:c>
      <x:c r="C40" s="2" t="s">
        <x:v>176</x:v>
      </x:c>
      <x:c r="D40" s="2" t="s">
        <x:v>177</x:v>
      </x:c>
      <x:c r="E40" s="2" t="s">
        <x:v>178</x:v>
      </x:c>
      <x:c r="F40" s="2" t="s">
        <x:v>165</x:v>
      </x:c>
      <x:c r="G40" s="2" t="s">
        <x:v>179</x:v>
      </x:c>
      <x:c r="H40" s="2" t="s">
        <x:v>184</x:v>
      </x:c>
      <x:c r="I40" s="2" t="s">
        <x:v>187</x:v>
      </x:c>
      <x:c r="J40" s="2" t="s">
        <x:v>188</x:v>
      </x:c>
      <x:c r="K40" s="2" t="s">
        <x:v>189</x:v>
      </x:c>
      <x:c r="L40" s="2" t="s">
        <x:v>190</x:v>
      </x:c>
    </x:row>
    <x:row r="41" ht="15" customHeight="1">
      <x:c r="B41" s="5" t="n">
        <x:f>sales!B9</x:f>
        <x:v>1</x:v>
      </x:c>
      <x:c r="C41" s="15" t="n">
        <x:f>sales!C9</x:f>
        <x:v>0</x:v>
      </x:c>
      <x:c r="D41" s="5" t="n">
        <x:f>sales!D9</x:f>
        <x:v>0</x:v>
      </x:c>
      <x:c r="E41" s="8" t="n">
        <x:f>sales!E9</x:f>
        <x:v>0</x:v>
      </x:c>
      <x:c r="F41" s="6" t="n">
        <x:f>sales!F9</x:f>
        <x:v>0</x:v>
      </x:c>
      <x:c r="G41" s="4" t="e">
        <x:f>sales!G9</x:f>
      </x:c>
      <x:c r="H41" s="7" t="n">
        <x:f>sales!D20</x:f>
        <x:v>0</x:v>
      </x:c>
      <x:c r="I41" s="7" t="n">
        <x:f>sales!G20</x:f>
        <x:v>0</x:v>
      </x:c>
      <x:c r="J41" s="7" t="n">
        <x:f>sales!H20</x:f>
        <x:v>0</x:v>
      </x:c>
      <x:c r="K41" s="7" t="n">
        <x:f>sales!I20</x:f>
        <x:v>0</x:v>
      </x:c>
      <x:c r="L41" s="4" t="e">
        <x:f>sales!J20</x:f>
      </x:c>
    </x:row>
    <x:row r="42" ht="15" customHeight="1">
      <x:c r="B42" s="5" t="n">
        <x:f>sales!B10</x:f>
        <x:v>2</x:v>
      </x:c>
      <x:c r="C42" s="15" t="n">
        <x:f>sales!C10</x:f>
        <x:v>0</x:v>
      </x:c>
      <x:c r="D42" s="5" t="n">
        <x:f>sales!D10</x:f>
        <x:v>0</x:v>
      </x:c>
      <x:c r="E42" s="8" t="n">
        <x:f>sales!E10</x:f>
        <x:v>0</x:v>
      </x:c>
      <x:c r="F42" s="6" t="n">
        <x:f>sales!F10</x:f>
        <x:v>0</x:v>
      </x:c>
      <x:c r="G42" s="4" t="e">
        <x:f>sales!G10</x:f>
      </x:c>
      <x:c r="H42" s="7" t="n">
        <x:f>sales!D21</x:f>
        <x:v>0</x:v>
      </x:c>
      <x:c r="I42" s="7" t="n">
        <x:f>sales!G21</x:f>
        <x:v>0</x:v>
      </x:c>
      <x:c r="J42" s="7" t="n">
        <x:f>sales!H21</x:f>
        <x:v>0</x:v>
      </x:c>
      <x:c r="K42" s="7" t="n">
        <x:f>sales!I21</x:f>
        <x:v>0</x:v>
      </x:c>
      <x:c r="L42" s="4" t="e">
        <x:f>sales!J21</x:f>
      </x:c>
    </x:row>
    <x:row r="43" ht="15" customHeight="1">
      <x:c r="B43" s="5" t="n">
        <x:f>sales!B11</x:f>
        <x:v>3</x:v>
      </x:c>
      <x:c r="C43" s="15" t="n">
        <x:f>sales!C11</x:f>
        <x:v>0</x:v>
      </x:c>
      <x:c r="D43" s="5" t="n">
        <x:f>sales!D11</x:f>
        <x:v>0</x:v>
      </x:c>
      <x:c r="E43" s="8" t="n">
        <x:f>sales!E11</x:f>
        <x:v>0</x:v>
      </x:c>
      <x:c r="F43" s="6" t="n">
        <x:f>sales!F11</x:f>
        <x:v>0</x:v>
      </x:c>
      <x:c r="G43" s="4" t="e">
        <x:f>sales!G11</x:f>
      </x:c>
      <x:c r="H43" s="7" t="n">
        <x:f>sales!D22</x:f>
        <x:v>0</x:v>
      </x:c>
      <x:c r="I43" s="7" t="n">
        <x:f>sales!G22</x:f>
        <x:v>0</x:v>
      </x:c>
      <x:c r="J43" s="7" t="n">
        <x:f>sales!H22</x:f>
        <x:v>0</x:v>
      </x:c>
      <x:c r="K43" s="7" t="n">
        <x:f>sales!I22</x:f>
        <x:v>0</x:v>
      </x:c>
      <x:c r="L43" s="4" t="e">
        <x:f>sales!J22</x:f>
      </x:c>
    </x:row>
    <x:row r="44" ht="15" customHeight="1">
      <x:c r="B44" s="5" t="n">
        <x:f>sales!B12</x:f>
        <x:v>4</x:v>
      </x:c>
      <x:c r="C44" s="15" t="n">
        <x:f>sales!C12</x:f>
        <x:v>0</x:v>
      </x:c>
      <x:c r="D44" s="5" t="n">
        <x:f>sales!D12</x:f>
        <x:v>0</x:v>
      </x:c>
      <x:c r="E44" s="8" t="n">
        <x:f>sales!E12</x:f>
        <x:v>0</x:v>
      </x:c>
      <x:c r="F44" s="6" t="n">
        <x:f>sales!F12</x:f>
        <x:v>0</x:v>
      </x:c>
      <x:c r="G44" s="4" t="e">
        <x:f>sales!G12</x:f>
      </x:c>
      <x:c r="H44" s="7" t="n">
        <x:f>sales!D23</x:f>
        <x:v>0</x:v>
      </x:c>
      <x:c r="I44" s="7" t="n">
        <x:f>sales!G23</x:f>
        <x:v>0</x:v>
      </x:c>
      <x:c r="J44" s="7" t="n">
        <x:f>sales!H23</x:f>
        <x:v>0</x:v>
      </x:c>
      <x:c r="K44" s="7" t="n">
        <x:f>sales!I23</x:f>
        <x:v>0</x:v>
      </x:c>
      <x:c r="L44" s="4" t="e">
        <x:f>sales!J23</x:f>
      </x:c>
    </x:row>
    <x:row r="45">
      <x:c r="B45" s="5" t="n">
        <x:f>sales!B13</x:f>
        <x:v>5</x:v>
      </x:c>
      <x:c r="C45" s="15" t="n">
        <x:f>sales!C13</x:f>
        <x:v>0</x:v>
      </x:c>
      <x:c r="D45" s="5" t="n">
        <x:f>sales!D13</x:f>
        <x:v>0</x:v>
      </x:c>
      <x:c r="E45" s="8" t="n">
        <x:f>sales!E13</x:f>
        <x:v>0</x:v>
      </x:c>
      <x:c r="F45" s="6" t="n">
        <x:f>sales!F13</x:f>
        <x:v>0</x:v>
      </x:c>
      <x:c r="G45" s="4" t="e">
        <x:f>sales!G13</x:f>
      </x:c>
      <x:c r="H45" s="7" t="n">
        <x:f>sales!D24</x:f>
        <x:v>0</x:v>
      </x:c>
      <x:c r="I45" s="7" t="n">
        <x:f>sales!G24</x:f>
        <x:v>0</x:v>
      </x:c>
      <x:c r="J45" s="7" t="n">
        <x:f>sales!H24</x:f>
        <x:v>0</x:v>
      </x:c>
      <x:c r="K45" s="7" t="n">
        <x:f>sales!I24</x:f>
        <x:v>0</x:v>
      </x:c>
      <x:c r="L45" s="4" t="e">
        <x:f>sales!J24</x:f>
      </x:c>
    </x:row>
    <x:row r="46" ht="19.5" customHeight="1">
      <x:c r="B46" s="5" t="n">
        <x:f>sales!B14</x:f>
        <x:v>6</x:v>
      </x:c>
      <x:c r="C46" s="15" t="n">
        <x:f>sales!C14</x:f>
        <x:v>0</x:v>
      </x:c>
      <x:c r="D46" s="5" t="n">
        <x:f>sales!D14</x:f>
        <x:v>0</x:v>
      </x:c>
      <x:c r="E46" s="8" t="n">
        <x:f>sales!E14</x:f>
        <x:v>0</x:v>
      </x:c>
      <x:c r="F46" s="6" t="n">
        <x:f>sales!F14</x:f>
        <x:v>0</x:v>
      </x:c>
      <x:c r="G46" s="4" t="e">
        <x:f>sales!G14</x:f>
      </x:c>
      <x:c r="H46" s="7" t="n">
        <x:f>sales!D25</x:f>
        <x:v>0</x:v>
      </x:c>
      <x:c r="I46" s="7" t="n">
        <x:f>sales!G25</x:f>
        <x:v>0</x:v>
      </x:c>
      <x:c r="J46" s="7" t="n">
        <x:f>sales!H25</x:f>
        <x:v>0</x:v>
      </x:c>
      <x:c r="K46" s="7" t="n">
        <x:f>sales!I25</x:f>
        <x:v>0</x:v>
      </x:c>
      <x:c r="L46" s="4" t="e">
        <x:f>sales!J25</x:f>
      </x:c>
    </x:row>
    <x:row r="47" ht="15" customHeight="1">
      <x:c r="B47" s="5" t="n">
        <x:f>sales!B15</x:f>
        <x:v>7</x:v>
      </x:c>
      <x:c r="C47" s="15" t="n">
        <x:f>sales!C15</x:f>
        <x:v>0</x:v>
      </x:c>
      <x:c r="D47" s="5" t="n">
        <x:f>sales!D15</x:f>
        <x:v>0</x:v>
      </x:c>
      <x:c r="E47" s="8" t="n">
        <x:f>sales!E15</x:f>
        <x:v>0</x:v>
      </x:c>
      <x:c r="F47" s="6" t="n">
        <x:f>sales!F15</x:f>
        <x:v>0</x:v>
      </x:c>
      <x:c r="G47" s="4" t="e">
        <x:f>sales!G15</x:f>
      </x:c>
      <x:c r="H47" s="7" t="n">
        <x:f>sales!D26</x:f>
        <x:v>0</x:v>
      </x:c>
      <x:c r="I47" s="7" t="n">
        <x:f>sales!G26</x:f>
        <x:v>0</x:v>
      </x:c>
      <x:c r="J47" s="7" t="n">
        <x:f>sales!H26</x:f>
        <x:v>0</x:v>
      </x:c>
      <x:c r="K47" s="7" t="n">
        <x:f>sales!I26</x:f>
        <x:v>0</x:v>
      </x:c>
      <x:c r="L47" s="4" t="e">
        <x:f>sales!J26</x:f>
      </x:c>
    </x:row>
    <x:row r="48" ht="15" customHeight="1"/>
    <x:row r="49">
      <x:c r="B49" s="16" t="s">
        <x:v>525</x:v>
      </x:c>
      <x:c r="C49" s="17"/>
      <x:c r="D49" s="17"/>
      <x:c r="E49" s="17"/>
      <x:c r="F49" s="17"/>
    </x:row>
    <x:row r="50" ht="19.5" customHeight="1">
      <x:c r="B50" s="18" t="s">
        <x:v>484</x:v>
      </x:c>
      <x:c r="C50" s="18" t="s">
        <x:v>485</x:v>
      </x:c>
      <x:c r="D50" s="18" t="s">
        <x:v>486</x:v>
      </x:c>
      <x:c r="E50" s="18" t="s">
        <x:v>222</x:v>
      </x:c>
    </x:row>
    <x:row r="51" ht="15" customHeight="1">
      <x:c r="B51" s="23" t="s">
        <x:v>122</x:v>
      </x:c>
      <x:c r="C51" s="24" t="n">
        <x:f>income_summary!D5</x:f>
        <x:v>244596</x:v>
      </x:c>
      <x:c r="D51" s="20" t="str">
        <x:f>TEXT(C38,"$#,##0")</x:f>
      </x:c>
      <x:c r="E51" s="21" t="s">
        <x:v>526</x:v>
      </x:c>
    </x:row>
    <x:row r="52" ht="15" customHeight="1">
      <x:c r="B52" t="s">
        <x:v>527</x:v>
      </x:c>
    </x:row>
    <x:row r="53" ht="15" customHeight="1">
      <x:c r="B53" s="23" t="s">
        <x:v>124</x:v>
      </x:c>
      <x:c r="C53" s="24" t="n">
        <x:f>income_summary!D8</x:f>
        <x:v>245914.4</x:v>
      </x:c>
      <x:c r="D53" s="20" t="str">
        <x:f>TEXT(C39,"$#,##0")</x:f>
      </x:c>
      <x:c r="E53" s="21" t="s">
        <x:v>528</x:v>
      </x:c>
    </x:row>
    <x:row r="54" ht="15" customHeight="1">
      <x:c r="B54" s="23" t="s">
        <x:v>529</x:v>
      </x:c>
      <x:c r="C54" s="26" t="n">
        <x:f>income_summary!C7</x:f>
        <x:v>0.2</x:v>
      </x:c>
      <x:c r="D54" s="20" t="str">
        <x:f>TEXT(C40,"0.0%")</x:f>
        <x:v>Sale Date</x:v>
      </x:c>
      <x:c r="E54" s="21" t="s">
        <x:v>530</x:v>
      </x:c>
    </x:row>
    <x:row r="55">
      <x:c r="B55" s="23" t="s">
        <x:v>126</x:v>
      </x:c>
      <x:c r="C55" s="24" t="n">
        <x:f>income_summary!D18</x:f>
        <x:v>32332.535999999993</x:v>
      </x:c>
      <x:c r="D55" s="20" t="str">
        <x:f>TEXT(C41,"$#,##0")</x:f>
        <x:v>$0</x:v>
      </x:c>
      <x:c r="E55" s="21" t="s">
        <x:v>531</x:v>
      </x:c>
    </x:row>
    <x:row r="56">
      <x:c r="B56" s="23" t="s">
        <x:v>532</x:v>
      </x:c>
      <x:c r="C56" s="27" t="n">
        <x:f>income_summary!C19</x:f>
        <x:v>0.095</x:v>
      </x:c>
      <x:c r="D56" s="20" t="str">
        <x:f>TEXT(C42,"0.0%")</x:f>
        <x:v>0.0%</x:v>
      </x:c>
      <x:c r="E56" s="21" t="s">
        <x:v>533</x:v>
      </x:c>
    </x:row>
    <x:row r="57">
      <x:c r="B57" t="s">
        <x:v>534</x:v>
      </x:c>
    </x:row>
    <x:row r="58">
      <x:c r="B58" s="23" t="s">
        <x:v>108</x:v>
      </x:c>
      <x:c r="C58" s="24" t="n">
        <x:f>income_summary!C21</x:f>
        <x:v>350000</x:v>
      </x:c>
      <x:c r="D58" s="22" t="str">
        <x:f>TEXT(C43,"$#,##0")</x:f>
        <x:v>$0</x:v>
      </x:c>
      <x:c r="E58" s="21" t="s">
        <x:v>535</x:v>
      </x:c>
    </x:row>
    <x:row r="59">
      <x:c r="B59" s="23" t="s">
        <x:v>536</x:v>
      </x:c>
      <x:c r="C59" s="24" t="n">
        <x:f>income_summary!D17</x:f>
        <x:v>213581.864</x:v>
      </x:c>
      <x:c r="D59" s="20" t="str">
        <x:f>TEXT(C44,"$#,##0")</x:f>
        <x:v>$0</x:v>
      </x:c>
      <x:c r="E59" s="21" t="s">
        <x:v>537</x:v>
      </x:c>
    </x:row>
    <x:row r="61">
      <x:c r="B61" s="16" t="s">
        <x:v>538</x:v>
      </x:c>
      <x:c r="C61" s="17"/>
      <x:c r="D61" s="17"/>
      <x:c r="E61" s="17"/>
      <x:c r="F61" s="17"/>
    </x:row>
    <x:row r="62">
      <x:c r="B62" s="29" t="s">
        <x:v>539</x:v>
      </x:c>
      <x:c r="C62" s="30" t="n">
        <x:f>pgi_calc!D5</x:f>
        <x:v>12</x:v>
      </x:c>
      <x:c r="D62" s="28" t="str">
        <x:f>"$"&amp;TEXT(pgi_calc!D5,"#,##0.00")&amp;"/SF"</x:f>
        <x:v>$12.00/SF</x:v>
      </x:c>
      <x:c r="E62" s="19" t="s">
        <x:v>540</x:v>
      </x:c>
    </x:row>
    <x:row r="63">
      <x:c r="B63" s="29" t="s">
        <x:v>117</x:v>
      </x:c>
      <x:c r="C63" s="30" t="n">
        <x:f>pgi_calc!D5</x:f>
        <x:v>12</x:v>
      </x:c>
      <x:c r="D63" s="28" t="str">
        <x:f>TEXT(pgi_calc!D5,"$#,##0.00")</x:f>
        <x:v>$12.00</x:v>
      </x:c>
      <x:c r="E63" s="19" t="s">
        <x:v>541</x:v>
      </x:c>
    </x:row>
    <x:row r="65">
      <x:c r="B65" s="16" t="s">
        <x:v>542</x:v>
      </x:c>
      <x:c r="C65" s="17"/>
      <x:c r="D65" s="17"/>
      <x:c r="E65" s="17"/>
      <x:c r="F65" s="17"/>
    </x:row>
    <x:row r="66">
      <x:c r="B66" s="29" t="s">
        <x:v>543</x:v>
      </x:c>
      <x:c r="C66" s="31" t="n">
        <x:f>land!D26</x:f>
        <x:v>554520</x:v>
      </x:c>
      <x:c r="D66" s="20" t="str">
        <x:f>TEXT(C51,"$#,##0")</x:f>
        <x:v>$244,596</x:v>
      </x:c>
      <x:c r="E66" s="19" t="s">
        <x:v>544</x:v>
      </x:c>
    </x:row>
    <x:row r="67">
      <x:c r="B67" s="29" t="s">
        <x:v>545</x:v>
      </x:c>
      <x:c r="C67" s="31" t="e">
        <x:f>cost!C68</x:f>
      </x:c>
      <x:c r="D67" s="20" t="str">
        <x:f>TEXT(C52,"$#,##0")</x:f>
      </x:c>
      <x:c r="E67" s="19" t="s">
        <x:v>546</x:v>
      </x:c>
    </x:row>
    <x:row r="68">
      <x:c r="B68" t="s">
        <x:v>547</x:v>
      </x:c>
    </x:row>
    <x:row r="69">
      <x:c r="B69" t="s">
        <x:v>548</x:v>
      </x:c>
    </x:row>
    <x:row r="70">
      <x:c r="B70" t="s">
        <x:v>549</x:v>
      </x:c>
    </x:row>
    <x:row r="71">
      <x:c r="B71" t="s">
        <x:v>550</x:v>
      </x:c>
    </x:row>
    <x:row r="72">
      <x:c r="B72" t="s">
        <x:v>551</x:v>
      </x:c>
    </x:row>
    <x:row r="73">
      <x:c r="B73" t="s">
        <x:v>552</x:v>
      </x:c>
    </x:row>
    <x:row r="74">
      <x:c r="B74" t="s">
        <x:v>553</x:v>
      </x:c>
    </x:row>
    <x:row r="75">
      <x:c r="B75" t="s">
        <x:v>554</x:v>
      </x:c>
    </x:row>
    <x:row r="76">
      <x:c r="B76" s="29" t="s">
        <x:v>555</x:v>
      </x:c>
      <x:c r="C76" s="32" t="e">
        <x:f>cost!C11</x:f>
      </x:c>
      <x:c r="D76" s="20" t="str">
        <x:f>TEXT(C53,"$#,##0.00")</x:f>
        <x:v>$245,914.40</x:v>
      </x:c>
      <x:c r="E76" s="19" t="s">
        <x:v>556</x:v>
      </x:c>
    </x:row>
    <x:row r="77">
      <x:c r="B77" t="s">
        <x:v>557</x:v>
      </x:c>
    </x:row>
    <x:row r="78">
      <x:c r="B78" t="s">
        <x:v>558</x:v>
      </x:c>
    </x:row>
    <x:row r="79">
      <x:c r="B79" t="s">
        <x:v>559</x:v>
      </x:c>
    </x:row>
    <x:row r="80">
      <x:c r="B80" t="s">
        <x:v>560</x:v>
      </x:c>
    </x:row>
    <x:row r="81">
      <x:c r="B81" t="s">
        <x:v>561</x:v>
      </x:c>
    </x:row>
    <x:row r="82">
      <x:c r="B82" t="s">
        <x:v>562</x:v>
      </x:c>
    </x:row>
    <x:row r="83">
      <x:c r="B83" s="29" t="s">
        <x:v>563</x:v>
      </x:c>
      <x:c r="C83" s="31" t="e">
        <x:f>cost!C12</x:f>
      </x:c>
      <x:c r="D83" s="20" t="str">
        <x:f>TEXT(C54,"$#,##0")</x:f>
        <x:v>$0</x:v>
      </x:c>
      <x:c r="E83" s="19" t="s">
        <x:v>564</x:v>
      </x:c>
    </x:row>
  </x:sheetData>
  <x:mergeCells>
    <x:mergeCell ref="B2:E2"/>
    <x:mergeCell ref="B20:E20"/>
    <x:mergeCell ref="B26:E26"/>
    <x:mergeCell ref="B18:E18"/>
    <x:mergeCell ref="B4:E4"/>
    <x:mergeCell ref="B16:E16"/>
    <x:mergeCell ref="B11:E11"/>
    <x:mergeCell ref="B25:E25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3.199999809265137"/>
  <x:cols>
    <x:col min="1" max="2" width="14" customWidth="1"/>
    <x:col min="3" max="3" width="24" customWidth="1"/>
    <x:col min="4" max="4" width="22" customWidth="1"/>
    <x:col min="5" max="5" width="18" customWidth="1"/>
    <x:col min="6" max="35" width="14" customWidth="1"/>
  </x:cols>
  <x:sheetData>
    <x:row r="1" ht="28.049999237060547" customHeight="1">
      <x:c r="A1" s="119" t="s">
        <x:v>565</x:v>
      </x:c>
      <x:c r="B1" s="119" t="s">
        <x:v>566</x:v>
      </x:c>
      <x:c r="C1" s="119" t="s">
        <x:v>567</x:v>
      </x:c>
      <x:c r="D1" s="119" t="s">
        <x:v>568</x:v>
      </x:c>
      <x:c r="E1" s="119" t="s">
        <x:v>569</x:v>
      </x:c>
      <x:c r="F1" s="119" t="s">
        <x:v>570</x:v>
      </x:c>
      <x:c r="G1" s="119" t="s">
        <x:v>571</x:v>
      </x:c>
      <x:c r="H1" s="119" t="s">
        <x:v>572</x:v>
      </x:c>
      <x:c r="I1" s="119" t="s">
        <x:v>573</x:v>
      </x:c>
      <x:c r="J1" s="119" t="s">
        <x:v>574</x:v>
      </x:c>
      <x:c r="K1" s="119" t="s">
        <x:v>575</x:v>
      </x:c>
      <x:c r="L1" s="119" t="s">
        <x:v>576</x:v>
      </x:c>
      <x:c r="M1" s="119" t="s">
        <x:v>577</x:v>
      </x:c>
      <x:c r="N1" s="119" t="s">
        <x:v>578</x:v>
      </x:c>
      <x:c r="O1" s="119" t="s">
        <x:v>579</x:v>
      </x:c>
      <x:c r="P1" s="119" t="s">
        <x:v>580</x:v>
      </x:c>
      <x:c r="Q1" s="119" t="s">
        <x:v>581</x:v>
      </x:c>
      <x:c r="R1" s="119" t="s">
        <x:v>582</x:v>
      </x:c>
      <x:c r="S1" s="119" t="s">
        <x:v>583</x:v>
      </x:c>
      <x:c r="T1" s="119" t="s">
        <x:v>584</x:v>
      </x:c>
      <x:c r="U1" s="119" t="s">
        <x:v>585</x:v>
      </x:c>
      <x:c r="V1" s="119" t="s">
        <x:v>586</x:v>
      </x:c>
      <x:c r="W1" s="119" t="s">
        <x:v>587</x:v>
      </x:c>
      <x:c r="X1" s="119" t="s">
        <x:v>588</x:v>
      </x:c>
      <x:c r="Y1" s="119" t="s">
        <x:v>589</x:v>
      </x:c>
      <x:c r="Z1" s="119" t="s">
        <x:v>590</x:v>
      </x:c>
      <x:c r="AA1" s="119" t="s">
        <x:v>591</x:v>
      </x:c>
      <x:c r="AB1" s="119" t="s">
        <x:v>592</x:v>
      </x:c>
      <x:c r="AC1" s="119" t="s">
        <x:v>593</x:v>
      </x:c>
      <x:c r="AD1" s="119" t="s">
        <x:v>594</x:v>
      </x:c>
      <x:c r="AE1" s="119" t="s">
        <x:v>595</x:v>
      </x:c>
      <x:c r="AF1" s="119" t="s">
        <x:v>596</x:v>
      </x:c>
      <x:c r="AG1" s="119" t="s">
        <x:v>597</x:v>
      </x:c>
      <x:c r="AH1" s="119" t="s">
        <x:v>598</x:v>
      </x:c>
      <x:c r="AI1" s="119" t="s">
        <x:v>599</x:v>
      </x:c>
    </x:row>
    <x:row r="2" ht="36" customHeight="1">
      <x:c r="A2" s="120" t="s">
        <x:v>600</x:v>
      </x:c>
      <x:c r="B2" s="120" t="str">
        <x:v>Submarket name (e.g. Demo Hills)</x:v>
      </x:c>
      <x:c r="C2" s="120" t="s">
        <x:v>26</x:v>
      </x:c>
      <x:c r="D2" s="120" t="s">
        <x:v>28</x:v>
      </x:c>
      <x:c r="E2" s="120" t="s">
        <x:v>601</x:v>
      </x:c>
      <x:c r="F2" s="120" t="s">
        <x:v>602</x:v>
      </x:c>
      <x:c r="G2" s="120" t="s">
        <x:v>603</x:v>
      </x:c>
      <x:c r="H2" s="120" t="s">
        <x:v>604</x:v>
      </x:c>
      <x:c r="I2" s="120" t="s">
        <x:v>605</x:v>
      </x:c>
      <x:c r="J2" s="120" t="s">
        <x:v>606</x:v>
      </x:c>
      <x:c r="K2" s="120" t="s">
        <x:v>607</x:v>
      </x:c>
      <x:c r="L2" s="120" t="s">
        <x:v>608</x:v>
      </x:c>
      <x:c r="M2" s="120" t="s">
        <x:v>609</x:v>
      </x:c>
      <x:c r="N2" s="120" t="s">
        <x:v>610</x:v>
      </x:c>
      <x:c r="O2" s="120" t="s">
        <x:v>611</x:v>
      </x:c>
      <x:c r="P2" s="120" t="s">
        <x:v>612</x:v>
      </x:c>
      <x:c r="Q2" s="120" t="s">
        <x:v>613</x:v>
      </x:c>
      <x:c r="R2" s="120" t="s">
        <x:v>614</x:v>
      </x:c>
      <x:c r="S2" s="120" t="s">
        <x:v>615</x:v>
      </x:c>
      <x:c r="T2" s="120" t="s">
        <x:v>616</x:v>
      </x:c>
      <x:c r="U2" s="120" t="s">
        <x:v>617</x:v>
      </x:c>
      <x:c r="V2" s="120" t="s">
        <x:v>618</x:v>
      </x:c>
      <x:c r="W2" s="120" t="s">
        <x:v>619</x:v>
      </x:c>
      <x:c r="X2" s="120" t="s">
        <x:v>620</x:v>
      </x:c>
      <x:c r="Y2" s="120" t="s">
        <x:v>621</x:v>
      </x:c>
      <x:c r="Z2" s="120" t="s">
        <x:v>622</x:v>
      </x:c>
      <x:c r="AA2" s="120" t="s">
        <x:v>623</x:v>
      </x:c>
      <x:c r="AB2" s="120" t="s">
        <x:v>624</x:v>
      </x:c>
      <x:c r="AC2" s="120" t="s">
        <x:v>625</x:v>
      </x:c>
      <x:c r="AD2" s="120" t="s">
        <x:v>626</x:v>
      </x:c>
      <x:c r="AE2" s="120" t="s">
        <x:v>627</x:v>
      </x:c>
      <x:c r="AF2" s="120" t="s">
        <x:v>628</x:v>
      </x:c>
      <x:c r="AG2" s="120" t="s">
        <x:v>629</x:v>
      </x:c>
      <x:c r="AH2" s="120" t="s">
        <x:v>630</x:v>
      </x:c>
      <x:c r="AI2" s="120" t="s">
        <x:v>631</x:v>
      </x:c>
    </x:row>
    <x:row r="3" ht="19.950000762939453" customHeight="1">
      <x:c r="A3" s="121" t="s">
        <x:v>223</x:v>
      </x:c>
      <x:c r="B3" s="122"/>
      <x:c r="C3" s="122"/>
      <x:c r="D3" s="122"/>
      <x:c r="E3" s="122"/>
      <x:c r="F3" s="122"/>
      <x:c r="G3" s="122"/>
      <x:c r="H3" s="122"/>
      <x:c r="I3" s="122"/>
      <x:c r="J3" s="122"/>
      <x:c r="K3" s="122"/>
      <x:c r="L3" s="122"/>
      <x:c r="M3" s="122"/>
      <x:c r="N3" s="122"/>
      <x:c r="O3" s="122"/>
      <x:c r="P3" s="122"/>
      <x:c r="Q3" s="122"/>
      <x:c r="R3" s="122"/>
      <x:c r="S3" s="122"/>
      <x:c r="T3" s="122"/>
      <x:c r="U3" s="122"/>
      <x:c r="V3" s="122"/>
      <x:c r="W3" s="122"/>
      <x:c r="X3" s="122"/>
      <x:c r="Y3" s="122"/>
      <x:c r="Z3" s="122"/>
      <x:c r="AA3" s="122"/>
      <x:c r="AB3" s="122"/>
      <x:c r="AC3" s="122"/>
      <x:c r="AD3" s="122"/>
      <x:c r="AE3" s="122"/>
      <x:c r="AF3" s="122"/>
      <x:c r="AG3" s="122"/>
      <x:c r="AH3" s="122"/>
      <x:c r="AI3" s="122"/>
    </x:row>
    <x:row r="4" ht="19.950000762939453" customHeight="1">
      <x:c r="A4" s="123" t="s">
        <x:v>224</x:v>
      </x:c>
      <x:c r="B4" s="122"/>
      <x:c r="C4" s="122"/>
      <x:c r="D4" s="122"/>
      <x:c r="E4" s="122"/>
      <x:c r="F4" s="122"/>
      <x:c r="G4" s="122"/>
      <x:c r="H4" s="122"/>
      <x:c r="I4" s="122"/>
      <x:c r="J4" s="122"/>
      <x:c r="K4" s="122"/>
      <x:c r="L4" s="122"/>
      <x:c r="M4" s="122"/>
      <x:c r="N4" s="122"/>
      <x:c r="O4" s="122"/>
      <x:c r="P4" s="122"/>
      <x:c r="Q4" s="122"/>
      <x:c r="R4" s="122"/>
      <x:c r="S4" s="122"/>
      <x:c r="T4" s="122"/>
      <x:c r="U4" s="122"/>
      <x:c r="V4" s="122"/>
      <x:c r="W4" s="122"/>
      <x:c r="X4" s="122"/>
      <x:c r="Y4" s="122"/>
      <x:c r="Z4" s="122"/>
      <x:c r="AA4" s="122"/>
      <x:c r="AB4" s="122"/>
      <x:c r="AC4" s="122"/>
      <x:c r="AD4" s="122"/>
      <x:c r="AE4" s="122"/>
      <x:c r="AF4" s="122"/>
      <x:c r="AG4" s="122"/>
      <x:c r="AH4" s="122"/>
      <x:c r="AI4" s="122"/>
    </x:row>
    <x:row r="5" ht="19.950000762939453" customHeight="1">
      <x:c r="A5" s="121" t="s">
        <x:v>225</x:v>
      </x:c>
      <x:c r="B5" s="122"/>
      <x:c r="C5" s="122"/>
      <x:c r="D5" s="122"/>
      <x:c r="E5" s="122"/>
      <x:c r="F5" s="122"/>
      <x:c r="G5" s="122"/>
      <x:c r="H5" s="122"/>
      <x:c r="I5" s="122"/>
      <x:c r="J5" s="122"/>
      <x:c r="K5" s="122"/>
      <x:c r="L5" s="122"/>
      <x:c r="M5" s="122"/>
      <x:c r="N5" s="122"/>
      <x:c r="O5" s="122"/>
      <x:c r="P5" s="122"/>
      <x:c r="Q5" s="122"/>
      <x:c r="R5" s="122"/>
      <x:c r="S5" s="122"/>
      <x:c r="T5" s="122"/>
      <x:c r="U5" s="122"/>
      <x:c r="V5" s="122"/>
      <x:c r="W5" s="122"/>
      <x:c r="X5" s="122"/>
      <x:c r="Y5" s="122"/>
      <x:c r="Z5" s="122"/>
      <x:c r="AA5" s="122"/>
      <x:c r="AB5" s="122"/>
      <x:c r="AC5" s="122"/>
      <x:c r="AD5" s="122"/>
      <x:c r="AE5" s="122"/>
      <x:c r="AF5" s="122"/>
      <x:c r="AG5" s="122"/>
      <x:c r="AH5" s="122"/>
      <x:c r="AI5" s="122"/>
    </x:row>
    <x:row r="6" ht="19.950000762939453" customHeight="1">
      <x:c r="A6" s="123" t="s">
        <x:v>226</x:v>
      </x:c>
      <x:c r="B6" s="122"/>
      <x:c r="C6" s="122"/>
      <x:c r="D6" s="122"/>
      <x:c r="E6" s="122"/>
      <x:c r="F6" s="122"/>
      <x:c r="G6" s="122"/>
      <x:c r="H6" s="122"/>
      <x:c r="I6" s="122"/>
      <x:c r="J6" s="122"/>
      <x:c r="K6" s="122"/>
      <x:c r="L6" s="122"/>
      <x:c r="M6" s="122"/>
      <x:c r="N6" s="122"/>
      <x:c r="O6" s="122"/>
      <x:c r="P6" s="122"/>
      <x:c r="Q6" s="122"/>
      <x:c r="R6" s="122"/>
      <x:c r="S6" s="122"/>
      <x:c r="T6" s="122"/>
      <x:c r="U6" s="122"/>
      <x:c r="V6" s="122"/>
      <x:c r="W6" s="122"/>
      <x:c r="X6" s="122"/>
      <x:c r="Y6" s="122"/>
      <x:c r="Z6" s="122"/>
      <x:c r="AA6" s="122"/>
      <x:c r="AB6" s="122"/>
      <x:c r="AC6" s="122"/>
      <x:c r="AD6" s="122"/>
      <x:c r="AE6" s="122"/>
      <x:c r="AF6" s="122"/>
      <x:c r="AG6" s="122"/>
      <x:c r="AH6" s="122"/>
      <x:c r="AI6" s="122"/>
    </x:row>
    <x:row r="7" ht="19.950000762939453" customHeight="1">
      <x:c r="A7" s="121" t="s">
        <x:v>227</x:v>
      </x:c>
      <x:c r="B7" s="122"/>
      <x:c r="C7" s="122"/>
      <x:c r="D7" s="122"/>
      <x:c r="E7" s="122"/>
      <x:c r="F7" s="122"/>
      <x:c r="G7" s="122"/>
      <x:c r="H7" s="122"/>
      <x:c r="I7" s="122"/>
      <x:c r="J7" s="122"/>
      <x:c r="K7" s="122"/>
      <x:c r="L7" s="122"/>
      <x:c r="M7" s="122"/>
      <x:c r="N7" s="122"/>
      <x:c r="O7" s="122"/>
      <x:c r="P7" s="122"/>
      <x:c r="Q7" s="122"/>
      <x:c r="R7" s="122"/>
      <x:c r="S7" s="122"/>
      <x:c r="T7" s="122"/>
      <x:c r="U7" s="122"/>
      <x:c r="V7" s="122"/>
      <x:c r="W7" s="122"/>
      <x:c r="X7" s="122"/>
      <x:c r="Y7" s="122"/>
      <x:c r="Z7" s="122"/>
      <x:c r="AA7" s="122"/>
      <x:c r="AB7" s="122"/>
      <x:c r="AC7" s="122"/>
      <x:c r="AD7" s="122"/>
      <x:c r="AE7" s="122"/>
      <x:c r="AF7" s="122"/>
      <x:c r="AG7" s="122"/>
      <x:c r="AH7" s="122"/>
      <x:c r="AI7" s="122"/>
    </x:row>
    <x:row r="8" ht="19.950000762939453" customHeight="1">
      <x:c r="A8" s="123" t="s">
        <x:v>228</x:v>
      </x:c>
      <x:c r="B8" s="122"/>
      <x:c r="C8" s="122"/>
      <x:c r="D8" s="122"/>
      <x:c r="E8" s="122"/>
      <x:c r="F8" s="122"/>
      <x:c r="G8" s="122"/>
      <x:c r="H8" s="122"/>
      <x:c r="I8" s="122"/>
      <x:c r="J8" s="122"/>
      <x:c r="K8" s="122"/>
      <x:c r="L8" s="122"/>
      <x:c r="M8" s="122"/>
      <x:c r="N8" s="122"/>
      <x:c r="O8" s="122"/>
      <x:c r="P8" s="122"/>
      <x:c r="Q8" s="122"/>
      <x:c r="R8" s="122"/>
      <x:c r="S8" s="122"/>
      <x:c r="T8" s="122"/>
      <x:c r="U8" s="122"/>
      <x:c r="V8" s="122"/>
      <x:c r="W8" s="122"/>
      <x:c r="X8" s="122"/>
      <x:c r="Y8" s="122"/>
      <x:c r="Z8" s="122"/>
      <x:c r="AA8" s="122"/>
      <x:c r="AB8" s="122"/>
      <x:c r="AC8" s="122"/>
      <x:c r="AD8" s="122"/>
      <x:c r="AE8" s="122"/>
      <x:c r="AF8" s="122"/>
      <x:c r="AG8" s="122"/>
      <x:c r="AH8" s="122"/>
      <x:c r="AI8" s="122"/>
    </x:row>
    <x:row r="9" ht="19.950000762939453" customHeight="1">
      <x:c r="A9" s="121" t="s">
        <x:v>229</x:v>
      </x:c>
      <x:c r="B9" s="122"/>
      <x:c r="C9" s="122"/>
      <x:c r="D9" s="122"/>
      <x:c r="E9" s="122"/>
      <x:c r="F9" s="122"/>
      <x:c r="G9" s="122"/>
      <x:c r="H9" s="122"/>
      <x:c r="I9" s="122"/>
      <x:c r="J9" s="122"/>
      <x:c r="K9" s="122"/>
      <x:c r="L9" s="122"/>
      <x:c r="M9" s="122"/>
      <x:c r="N9" s="122"/>
      <x:c r="O9" s="122"/>
      <x:c r="P9" s="122"/>
      <x:c r="Q9" s="122"/>
      <x:c r="R9" s="122"/>
      <x:c r="S9" s="122"/>
      <x:c r="T9" s="122"/>
      <x:c r="U9" s="122"/>
      <x:c r="V9" s="122"/>
      <x:c r="W9" s="122"/>
      <x:c r="X9" s="122"/>
      <x:c r="Y9" s="122"/>
      <x:c r="Z9" s="122"/>
      <x:c r="AA9" s="122"/>
      <x:c r="AB9" s="122"/>
      <x:c r="AC9" s="122"/>
      <x:c r="AD9" s="122"/>
      <x:c r="AE9" s="122"/>
      <x:c r="AF9" s="122"/>
      <x:c r="AG9" s="122"/>
      <x:c r="AH9" s="122"/>
      <x:c r="AI9" s="122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3.199999809265137"/>
  <x:cols>
    <x:col min="1" max="1" width="12" customWidth="1"/>
    <x:col min="2" max="7" width="14" customWidth="1"/>
  </x:cols>
  <x:sheetData>
    <x:row r="1" ht="18" customHeight="1">
      <x:c r="A1" s="149" t="s">
        <x:v>632</x:v>
      </x:c>
      <x:c r="B1" s="150"/>
      <x:c r="C1" s="150"/>
      <x:c r="D1" s="150"/>
      <x:c r="E1" s="150"/>
      <x:c r="F1" s="150"/>
      <x:c r="G1" s="151"/>
    </x:row>
    <x:row r="2" ht="13.949999809265137" customHeight="1">
      <x:c r="A2" s="154" t="s">
        <x:v>633</x:v>
      </x:c>
      <x:c r="B2" s="150"/>
      <x:c r="C2" s="150"/>
      <x:c r="D2" s="150"/>
      <x:c r="E2" s="150"/>
      <x:c r="F2" s="150"/>
      <x:c r="G2" s="151"/>
    </x:row>
    <x:row r="3" ht="16.049999237060547" customHeight="1">
      <x:c r="A3" s="39" t="s">
        <x:v>634</x:v>
      </x:c>
      <x:c r="B3" s="39" t="s">
        <x:v>635</x:v>
      </x:c>
      <x:c r="C3" s="39" t="s">
        <x:v>636</x:v>
      </x:c>
      <x:c r="D3" s="39" t="s">
        <x:v>637</x:v>
      </x:c>
      <x:c r="E3" s="39" t="s">
        <x:v>638</x:v>
      </x:c>
      <x:c r="F3" s="39" t="s">
        <x:v>639</x:v>
      </x:c>
      <x:c r="G3" s="39" t="s">
        <x:v>640</x:v>
      </x:c>
    </x:row>
    <x:row r="4" ht="13.050000190734863" customHeight="1">
      <x:c r="A4" s="124">
        <x:v>0.01</x:v>
      </x:c>
      <x:c r="B4" s="125">
        <x:v>0.23</x:v>
      </x:c>
      <x:c r="C4" s="125">
        <x:v>0.28000000000000003</x:v>
      </x:c>
      <x:c r="D4" s="125">
        <x:v>0.34</x:v>
      </x:c>
      <x:c r="E4" s="125">
        <x:v>0.41</x:v>
      </x:c>
      <x:c r="F4" s="125">
        <x:v>0.5</x:v>
      </x:c>
      <x:c r="G4" s="125" t="s">
        <x:v>641</x:v>
      </x:c>
    </x:row>
    <x:row r="5" ht="13.050000190734863" customHeight="1">
      <x:c r="A5" s="126">
        <x:v>0.02</x:v>
      </x:c>
      <x:c r="B5" s="127">
        <x:v>0.28000000000000003</x:v>
      </x:c>
      <x:c r="C5" s="127">
        <x:v>0.34</x:v>
      </x:c>
      <x:c r="D5" s="127">
        <x:v>0.4</x:v>
      </x:c>
      <x:c r="E5" s="127">
        <x:v>0.47</x:v>
      </x:c>
      <x:c r="F5" s="127">
        <x:v>0.55000000000000004</x:v>
      </x:c>
      <x:c r="G5" s="127" t="s">
        <x:v>642</x:v>
      </x:c>
    </x:row>
    <x:row r="6" ht="13.050000190734863" customHeight="1">
      <x:c r="A6" s="124">
        <x:v>0.03</x:v>
      </x:c>
      <x:c r="B6" s="125">
        <x:v>0.32</x:v>
      </x:c>
      <x:c r="C6" s="125">
        <x:v>0.38</x:v>
      </x:c>
      <x:c r="D6" s="125">
        <x:v>0.44</x:v>
      </x:c>
      <x:c r="E6" s="125">
        <x:v>0.51</x:v>
      </x:c>
      <x:c r="F6" s="125">
        <x:v>0.59</x:v>
      </x:c>
      <x:c r="G6" s="125" t="s">
        <x:v>643</x:v>
      </x:c>
    </x:row>
    <x:row r="7" ht="13.050000190734863" customHeight="1">
      <x:c r="A7" s="126">
        <x:v>0.04</x:v>
      </x:c>
      <x:c r="B7" s="127">
        <x:v>0.35</x:v>
      </x:c>
      <x:c r="C7" s="127">
        <x:v>0.41</x:v>
      </x:c>
      <x:c r="D7" s="127">
        <x:v>0.47</x:v>
      </x:c>
      <x:c r="E7" s="127">
        <x:v>0.54</x:v>
      </x:c>
      <x:c r="F7" s="127">
        <x:v>0.61</x:v>
      </x:c>
      <x:c r="G7" s="127" t="s">
        <x:v>644</x:v>
      </x:c>
    </x:row>
    <x:row r="8" ht="13.050000190734863" customHeight="1">
      <x:c r="A8" s="124">
        <x:v>0.05</x:v>
      </x:c>
      <x:c r="B8" s="125">
        <x:v>0.38</x:v>
      </x:c>
      <x:c r="C8" s="125">
        <x:v>0.44</x:v>
      </x:c>
      <x:c r="D8" s="125">
        <x:v>0.49</x:v>
      </x:c>
      <x:c r="E8" s="125">
        <x:v>0.56000000000000005</x:v>
      </x:c>
      <x:c r="F8" s="125">
        <x:v>0.63</x:v>
      </x:c>
      <x:c r="G8" s="125" t="s">
        <x:v>645</x:v>
      </x:c>
    </x:row>
    <x:row r="9" ht="13.050000190734863" customHeight="1">
      <x:c r="A9" s="126">
        <x:v>0.06</x:v>
      </x:c>
      <x:c r="B9" s="127">
        <x:v>0.4</x:v>
      </x:c>
      <x:c r="C9" s="127">
        <x:v>0.46</x:v>
      </x:c>
      <x:c r="D9" s="127">
        <x:v>0.52</x:v>
      </x:c>
      <x:c r="E9" s="127">
        <x:v>0.57999999999999996</x:v>
      </x:c>
      <x:c r="F9" s="127">
        <x:v>0.65</x:v>
      </x:c>
      <x:c r="G9" s="127" t="s">
        <x:v>646</x:v>
      </x:c>
    </x:row>
    <x:row r="10" ht="13.050000190734863" customHeight="1">
      <x:c r="A10" s="124">
        <x:v>7.0000000000000007E-2</x:v>
      </x:c>
      <x:c r="B10" s="125">
        <x:v>0.42</x:v>
      </x:c>
      <x:c r="C10" s="125">
        <x:v>0.48</x:v>
      </x:c>
      <x:c r="D10" s="125">
        <x:v>0.54</x:v>
      </x:c>
      <x:c r="E10" s="125">
        <x:v>0.6</x:v>
      </x:c>
      <x:c r="F10" s="125">
        <x:v>0.67</x:v>
      </x:c>
      <x:c r="G10" s="125" t="s">
        <x:v>647</x:v>
      </x:c>
    </x:row>
    <x:row r="11" ht="13.050000190734863" customHeight="1">
      <x:c r="A11" s="126">
        <x:v>0.08</x:v>
      </x:c>
      <x:c r="B11" s="127">
        <x:v>0.44</x:v>
      </x:c>
      <x:c r="C11" s="127">
        <x:v>0.5</x:v>
      </x:c>
      <x:c r="D11" s="127">
        <x:v>0.55000000000000004</x:v>
      </x:c>
      <x:c r="E11" s="127">
        <x:v>0.61</x:v>
      </x:c>
      <x:c r="F11" s="127">
        <x:v>0.68</x:v>
      </x:c>
      <x:c r="G11" s="127" t="s">
        <x:v>648</x:v>
      </x:c>
    </x:row>
    <x:row r="12" ht="13.050000190734863" customHeight="1">
      <x:c r="A12" s="124">
        <x:v>0.09</x:v>
      </x:c>
      <x:c r="B12" s="125">
        <x:v>0.46</x:v>
      </x:c>
      <x:c r="C12" s="125">
        <x:v>0.51</x:v>
      </x:c>
      <x:c r="D12" s="125">
        <x:v>0.56999999999999995</x:v>
      </x:c>
      <x:c r="E12" s="125">
        <x:v>0.63</x:v>
      </x:c>
      <x:c r="F12" s="125">
        <x:v>0.69</x:v>
      </x:c>
      <x:c r="G12" s="125" t="s">
        <x:v>649</x:v>
      </x:c>
    </x:row>
    <x:row r="13" ht="13.050000190734863" customHeight="1">
      <x:c r="A13" s="126">
        <x:v>0.1</x:v>
      </x:c>
      <x:c r="B13" s="127">
        <x:v>0.48</x:v>
      </x:c>
      <x:c r="C13" s="127">
        <x:v>0.53</x:v>
      </x:c>
      <x:c r="D13" s="127">
        <x:v>0.57999999999999996</x:v>
      </x:c>
      <x:c r="E13" s="127">
        <x:v>0.64</x:v>
      </x:c>
      <x:c r="F13" s="127">
        <x:v>0.7</x:v>
      </x:c>
      <x:c r="G13" s="127" t="s">
        <x:v>650</x:v>
      </x:c>
    </x:row>
    <x:row r="14" ht="13.050000190734863" customHeight="1">
      <x:c r="A14" s="124">
        <x:v>0.11</x:v>
      </x:c>
      <x:c r="B14" s="125">
        <x:v>0.49</x:v>
      </x:c>
      <x:c r="C14" s="125">
        <x:v>0.54</x:v>
      </x:c>
      <x:c r="D14" s="125">
        <x:v>0.6</x:v>
      </x:c>
      <x:c r="E14" s="125">
        <x:v>0.65</x:v>
      </x:c>
      <x:c r="F14" s="125">
        <x:v>0.71</x:v>
      </x:c>
      <x:c r="G14" s="125" t="s">
        <x:v>651</x:v>
      </x:c>
    </x:row>
    <x:row r="15" ht="13.050000190734863" customHeight="1">
      <x:c r="A15" s="126">
        <x:v>0.12</x:v>
      </x:c>
      <x:c r="B15" s="127">
        <x:v>0.51</x:v>
      </x:c>
      <x:c r="C15" s="127">
        <x:v>0.56000000000000005</x:v>
      </x:c>
      <x:c r="D15" s="127">
        <x:v>0.61</x:v>
      </x:c>
      <x:c r="E15" s="127">
        <x:v>0.66</x:v>
      </x:c>
      <x:c r="F15" s="127">
        <x:v>0.72</x:v>
      </x:c>
      <x:c r="G15" s="127" t="s">
        <x:v>652</x:v>
      </x:c>
    </x:row>
    <x:row r="16" ht="13.050000190734863" customHeight="1">
      <x:c r="A16" s="124">
        <x:v>0.13</x:v>
      </x:c>
      <x:c r="B16" s="125">
        <x:v>0.52</x:v>
      </x:c>
      <x:c r="C16" s="125">
        <x:v>0.56999999999999995</x:v>
      </x:c>
      <x:c r="D16" s="125">
        <x:v>0.62</x:v>
      </x:c>
      <x:c r="E16" s="125">
        <x:v>0.68</x:v>
      </x:c>
      <x:c r="F16" s="125">
        <x:v>0.73</x:v>
      </x:c>
      <x:c r="G16" s="125" t="s">
        <x:v>653</x:v>
      </x:c>
    </x:row>
    <x:row r="17" ht="13.050000190734863" customHeight="1">
      <x:c r="A17" s="126">
        <x:v>0.14000000000000001</x:v>
      </x:c>
      <x:c r="B17" s="127">
        <x:v>0.53</x:v>
      </x:c>
      <x:c r="C17" s="127">
        <x:v>0.57999999999999996</x:v>
      </x:c>
      <x:c r="D17" s="127">
        <x:v>0.63</x:v>
      </x:c>
      <x:c r="E17" s="127">
        <x:v>0.68</x:v>
      </x:c>
      <x:c r="F17" s="127">
        <x:v>0.74</x:v>
      </x:c>
      <x:c r="G17" s="127" t="s">
        <x:v>654</x:v>
      </x:c>
    </x:row>
    <x:row r="18" ht="13.050000190734863" customHeight="1">
      <x:c r="A18" s="124">
        <x:v>0.15</x:v>
      </x:c>
      <x:c r="B18" s="125">
        <x:v>0.54</x:v>
      </x:c>
      <x:c r="C18" s="125">
        <x:v>0.59</x:v>
      </x:c>
      <x:c r="D18" s="125">
        <x:v>0.64</x:v>
      </x:c>
      <x:c r="E18" s="125">
        <x:v>0.69</x:v>
      </x:c>
      <x:c r="F18" s="125">
        <x:v>0.75</x:v>
      </x:c>
      <x:c r="G18" s="125" t="s">
        <x:v>655</x:v>
      </x:c>
    </x:row>
    <x:row r="19" ht="13.050000190734863" customHeight="1">
      <x:c r="A19" s="126">
        <x:v>0.16</x:v>
      </x:c>
      <x:c r="B19" s="127">
        <x:v>0.55000000000000004</x:v>
      </x:c>
      <x:c r="C19" s="127">
        <x:v>0.6</x:v>
      </x:c>
      <x:c r="D19" s="127">
        <x:v>0.65</x:v>
      </x:c>
      <x:c r="E19" s="127">
        <x:v>0.7</x:v>
      </x:c>
      <x:c r="F19" s="127">
        <x:v>0.76</x:v>
      </x:c>
      <x:c r="G19" s="127" t="s">
        <x:v>656</x:v>
      </x:c>
    </x:row>
    <x:row r="20" ht="13.050000190734863" customHeight="1">
      <x:c r="A20" s="124">
        <x:v>0.17</x:v>
      </x:c>
      <x:c r="B20" s="125">
        <x:v>0.56999999999999995</x:v>
      </x:c>
      <x:c r="C20" s="125">
        <x:v>0.61</x:v>
      </x:c>
      <x:c r="D20" s="125">
        <x:v>0.66</x:v>
      </x:c>
      <x:c r="E20" s="125">
        <x:v>0.71</x:v>
      </x:c>
      <x:c r="F20" s="125">
        <x:v>0.76</x:v>
      </x:c>
      <x:c r="G20" s="125" t="s">
        <x:v>657</x:v>
      </x:c>
    </x:row>
    <x:row r="21" ht="13.050000190734863" customHeight="1">
      <x:c r="A21" s="126">
        <x:v>0.18</x:v>
      </x:c>
      <x:c r="B21" s="127">
        <x:v>0.57999999999999996</x:v>
      </x:c>
      <x:c r="C21" s="127">
        <x:v>0.62</x:v>
      </x:c>
      <x:c r="D21" s="127">
        <x:v>0.67</x:v>
      </x:c>
      <x:c r="E21" s="127">
        <x:v>0.72</x:v>
      </x:c>
      <x:c r="F21" s="127">
        <x:v>0.77</x:v>
      </x:c>
      <x:c r="G21" s="127" t="s">
        <x:v>658</x:v>
      </x:c>
    </x:row>
    <x:row r="22" ht="13.050000190734863" customHeight="1">
      <x:c r="A22" s="124">
        <x:v>0.19</x:v>
      </x:c>
      <x:c r="B22" s="125">
        <x:v>0.59</x:v>
      </x:c>
      <x:c r="C22" s="125">
        <x:v>0.63</x:v>
      </x:c>
      <x:c r="D22" s="125">
        <x:v>0.68</x:v>
      </x:c>
      <x:c r="E22" s="125">
        <x:v>0.73</x:v>
      </x:c>
      <x:c r="F22" s="125">
        <x:v>0.78</x:v>
      </x:c>
      <x:c r="G22" s="125" t="s">
        <x:v>659</x:v>
      </x:c>
    </x:row>
    <x:row r="23" ht="13.050000190734863" customHeight="1">
      <x:c r="A23" s="126">
        <x:v>0.2</x:v>
      </x:c>
      <x:c r="B23" s="127">
        <x:v>0.6</x:v>
      </x:c>
      <x:c r="C23" s="127">
        <x:v>0.64</x:v>
      </x:c>
      <x:c r="D23" s="127">
        <x:v>0.69</x:v>
      </x:c>
      <x:c r="E23" s="127">
        <x:v>0.73</x:v>
      </x:c>
      <x:c r="F23" s="127">
        <x:v>0.78</x:v>
      </x:c>
      <x:c r="G23" s="127" t="s">
        <x:v>660</x:v>
      </x:c>
    </x:row>
    <x:row r="24" ht="13.050000190734863" customHeight="1">
      <x:c r="A24" s="124">
        <x:v>0.25</x:v>
      </x:c>
      <x:c r="B24" s="125">
        <x:v>0.64</x:v>
      </x:c>
      <x:c r="C24" s="125">
        <x:v>0.68</x:v>
      </x:c>
      <x:c r="D24" s="125">
        <x:v>0.72</x:v>
      </x:c>
      <x:c r="E24" s="125">
        <x:v>0.77</x:v>
      </x:c>
      <x:c r="F24" s="125">
        <x:v>0.81</x:v>
      </x:c>
      <x:c r="G24" s="125" t="s">
        <x:v>661</x:v>
      </x:c>
    </x:row>
    <x:row r="25" ht="13.050000190734863" customHeight="1">
      <x:c r="A25" s="126">
        <x:v>0.3</x:v>
      </x:c>
      <x:c r="B25" s="127">
        <x:v>0.68</x:v>
      </x:c>
      <x:c r="C25" s="127">
        <x:v>0.72</x:v>
      </x:c>
      <x:c r="D25" s="127">
        <x:v>0.75</x:v>
      </x:c>
      <x:c r="E25" s="127">
        <x:v>0.79</x:v>
      </x:c>
      <x:c r="F25" s="127">
        <x:v>0.83</x:v>
      </x:c>
      <x:c r="G25" s="127" t="s">
        <x:v>662</x:v>
      </x:c>
    </x:row>
    <x:row r="26" ht="13.050000190734863" customHeight="1">
      <x:c r="A26" s="124">
        <x:v>0.35</x:v>
      </x:c>
      <x:c r="B26" s="125">
        <x:v>0.71</x:v>
      </x:c>
      <x:c r="C26" s="125">
        <x:v>0.75</x:v>
      </x:c>
      <x:c r="D26" s="125">
        <x:v>0.78</x:v>
      </x:c>
      <x:c r="E26" s="125">
        <x:v>0.82</x:v>
      </x:c>
      <x:c r="F26" s="125">
        <x:v>0.85</x:v>
      </x:c>
      <x:c r="G26" s="125" t="s">
        <x:v>663</x:v>
      </x:c>
    </x:row>
    <x:row r="27" ht="13.050000190734863" customHeight="1">
      <x:c r="A27" s="126">
        <x:v>0.4</x:v>
      </x:c>
      <x:c r="B27" s="127">
        <x:v>0.74</x:v>
      </x:c>
      <x:c r="C27" s="127">
        <x:v>0.78</x:v>
      </x:c>
      <x:c r="D27" s="127">
        <x:v>0.81</x:v>
      </x:c>
      <x:c r="E27" s="127">
        <x:v>0.84</x:v>
      </x:c>
      <x:c r="F27" s="127">
        <x:v>0.87</x:v>
      </x:c>
      <x:c r="G27" s="127" t="s">
        <x:v>664</x:v>
      </x:c>
    </x:row>
    <x:row r="28" ht="13.050000190734863" customHeight="1">
      <x:c r="A28" s="124">
        <x:v>0.45</x:v>
      </x:c>
      <x:c r="B28" s="125">
        <x:v>0.77</x:v>
      </x:c>
      <x:c r="C28" s="125">
        <x:v>0.8</x:v>
      </x:c>
      <x:c r="D28" s="125">
        <x:v>0.83</x:v>
      </x:c>
      <x:c r="E28" s="125">
        <x:v>0.86</x:v>
      </x:c>
      <x:c r="F28" s="125">
        <x:v>0.89</x:v>
      </x:c>
      <x:c r="G28" s="125" t="s">
        <x:v>665</x:v>
      </x:c>
    </x:row>
    <x:row r="29" ht="13.050000190734863" customHeight="1">
      <x:c r="A29" s="126">
        <x:v>0.5</x:v>
      </x:c>
      <x:c r="B29" s="127">
        <x:v>0.8</x:v>
      </x:c>
      <x:c r="C29" s="127">
        <x:v>0.82</x:v>
      </x:c>
      <x:c r="D29" s="127">
        <x:v>0.85</x:v>
      </x:c>
      <x:c r="E29" s="127">
        <x:v>0.88</x:v>
      </x:c>
      <x:c r="F29" s="127">
        <x:v>0.9</x:v>
      </x:c>
      <x:c r="G29" s="127" t="s">
        <x:v>666</x:v>
      </x:c>
    </x:row>
    <x:row r="30" ht="13.050000190734863" customHeight="1">
      <x:c r="A30" s="124">
        <x:v>0.55000000000000004</x:v>
      </x:c>
      <x:c r="B30" s="125">
        <x:v>0.82</x:v>
      </x:c>
      <x:c r="C30" s="125">
        <x:v>0.85</x:v>
      </x:c>
      <x:c r="D30" s="125">
        <x:v>0.87</x:v>
      </x:c>
      <x:c r="E30" s="125">
        <x:v>0.89</x:v>
      </x:c>
      <x:c r="F30" s="125">
        <x:v>0.91</x:v>
      </x:c>
      <x:c r="G30" s="125" t="s">
        <x:v>667</x:v>
      </x:c>
    </x:row>
    <x:row r="31" ht="13.050000190734863" customHeight="1">
      <x:c r="A31" s="126">
        <x:v>0.6</x:v>
      </x:c>
      <x:c r="B31" s="127">
        <x:v>0.85</x:v>
      </x:c>
      <x:c r="C31" s="127">
        <x:v>0.87</x:v>
      </x:c>
      <x:c r="D31" s="127">
        <x:v>0.89</x:v>
      </x:c>
      <x:c r="E31" s="127">
        <x:v>0.91</x:v>
      </x:c>
      <x:c r="F31" s="127">
        <x:v>0.93</x:v>
      </x:c>
      <x:c r="G31" s="127" t="s">
        <x:v>668</x:v>
      </x:c>
    </x:row>
    <x:row r="32" ht="13.050000190734863" customHeight="1">
      <x:c r="A32" s="124">
        <x:v>0.65</x:v>
      </x:c>
      <x:c r="B32" s="125">
        <x:v>0.87</x:v>
      </x:c>
      <x:c r="C32" s="125">
        <x:v>0.89</x:v>
      </x:c>
      <x:c r="D32" s="125">
        <x:v>0.9</x:v>
      </x:c>
      <x:c r="E32" s="125">
        <x:v>0.92</x:v>
      </x:c>
      <x:c r="F32" s="125">
        <x:v>0.94</x:v>
      </x:c>
      <x:c r="G32" s="125" t="s">
        <x:v>669</x:v>
      </x:c>
    </x:row>
    <x:row r="33" ht="13.050000190734863" customHeight="1">
      <x:c r="A33" s="126">
        <x:v>0.7</x:v>
      </x:c>
      <x:c r="B33" s="127">
        <x:v>0.89</x:v>
      </x:c>
      <x:c r="C33" s="127">
        <x:v>0.91</x:v>
      </x:c>
      <x:c r="D33" s="127">
        <x:v>0.92</x:v>
      </x:c>
      <x:c r="E33" s="127">
        <x:v>0.93</x:v>
      </x:c>
      <x:c r="F33" s="127">
        <x:v>0.95</x:v>
      </x:c>
      <x:c r="G33" s="127" t="s">
        <x:v>670</x:v>
      </x:c>
    </x:row>
    <x:row r="34" ht="13.050000190734863" customHeight="1">
      <x:c r="A34" s="124">
        <x:v>0.75</x:v>
      </x:c>
      <x:c r="B34" s="125">
        <x:v>0.91</x:v>
      </x:c>
      <x:c r="C34" s="125">
        <x:v>0.92</x:v>
      </x:c>
      <x:c r="D34" s="125">
        <x:v>0.93</x:v>
      </x:c>
      <x:c r="E34" s="125">
        <x:v>0.95</x:v>
      </x:c>
      <x:c r="F34" s="125">
        <x:v>0.96</x:v>
      </x:c>
      <x:c r="G34" s="125" t="s">
        <x:v>671</x:v>
      </x:c>
    </x:row>
    <x:row r="35" ht="13.050000190734863" customHeight="1">
      <x:c r="A35" s="126">
        <x:v>0.8</x:v>
      </x:c>
      <x:c r="B35" s="127">
        <x:v>0.93</x:v>
      </x:c>
      <x:c r="C35" s="127">
        <x:v>0.94</x:v>
      </x:c>
      <x:c r="D35" s="127">
        <x:v>0.95</x:v>
      </x:c>
      <x:c r="E35" s="127">
        <x:v>0.96</x:v>
      </x:c>
      <x:c r="F35" s="127">
        <x:v>0.97</x:v>
      </x:c>
      <x:c r="G35" s="127" t="s">
        <x:v>672</x:v>
      </x:c>
    </x:row>
    <x:row r="36" ht="13.050000190734863" customHeight="1">
      <x:c r="A36" s="124">
        <x:v>0.85</x:v>
      </x:c>
      <x:c r="B36" s="125">
        <x:v>0.95</x:v>
      </x:c>
      <x:c r="C36" s="125">
        <x:v>0.96</x:v>
      </x:c>
      <x:c r="D36" s="125">
        <x:v>0.96</x:v>
      </x:c>
      <x:c r="E36" s="125">
        <x:v>0.97</x:v>
      </x:c>
      <x:c r="F36" s="125">
        <x:v>0.98</x:v>
      </x:c>
      <x:c r="G36" s="125" t="s">
        <x:v>673</x:v>
      </x:c>
    </x:row>
    <x:row r="37" ht="13.050000190734863" customHeight="1">
      <x:c r="A37" s="126">
        <x:v>0.9</x:v>
      </x:c>
      <x:c r="B37" s="127">
        <x:v>0.97</x:v>
      </x:c>
      <x:c r="C37" s="127">
        <x:v>0.97</x:v>
      </x:c>
      <x:c r="D37" s="127">
        <x:v>0.98</x:v>
      </x:c>
      <x:c r="E37" s="127">
        <x:v>0.98</x:v>
      </x:c>
      <x:c r="F37" s="127">
        <x:v>0.98</x:v>
      </x:c>
      <x:c r="G37" s="127" t="s">
        <x:v>674</x:v>
      </x:c>
    </x:row>
    <x:row r="38" ht="13.050000190734863" customHeight="1">
      <x:c r="A38" s="124">
        <x:v>0.95</x:v>
      </x:c>
      <x:c r="B38" s="125">
        <x:v>0.98</x:v>
      </x:c>
      <x:c r="C38" s="125">
        <x:v>0.99</x:v>
      </x:c>
      <x:c r="D38" s="125">
        <x:v>0.99</x:v>
      </x:c>
      <x:c r="E38" s="125">
        <x:v>0.99</x:v>
      </x:c>
      <x:c r="F38" s="125">
        <x:v>0.99</x:v>
      </x:c>
      <x:c r="G38" s="125" t="s">
        <x:v>675</x:v>
      </x:c>
    </x:row>
    <x:row r="39" ht="13.050000190734863" customHeight="1">
      <x:c r="A39" s="126">
        <x:v>1</x:v>
      </x:c>
      <x:c r="B39" s="127">
        <x:v>1</x:v>
      </x:c>
      <x:c r="C39" s="127">
        <x:v>1</x:v>
      </x:c>
      <x:c r="D39" s="127">
        <x:v>1</x:v>
      </x:c>
      <x:c r="E39" s="127">
        <x:v>1</x:v>
      </x:c>
      <x:c r="F39" s="127">
        <x:v>1</x:v>
      </x:c>
      <x:c r="G39" s="127" t="s">
        <x:v>676</x:v>
      </x:c>
    </x:row>
    <x:row r="40" ht="13.050000190734863" customHeight="1">
      <x:c r="A40" s="124">
        <x:v>1.1000000000000001</x:v>
      </x:c>
      <x:c r="B40" s="125">
        <x:v>1.03</x:v>
      </x:c>
      <x:c r="C40" s="125">
        <x:v>1.03</x:v>
      </x:c>
      <x:c r="D40" s="125">
        <x:v>1.02</x:v>
      </x:c>
      <x:c r="E40" s="125">
        <x:v>1.02</x:v>
      </x:c>
      <x:c r="F40" s="125">
        <x:v>1.01</x:v>
      </x:c>
      <x:c r="G40" s="125" t="s">
        <x:v>677</x:v>
      </x:c>
    </x:row>
    <x:row r="41" ht="13.050000190734863" customHeight="1">
      <x:c r="A41" s="126">
        <x:v>1.2</x:v>
      </x:c>
      <x:c r="B41" s="127">
        <x:v>1.06</x:v>
      </x:c>
      <x:c r="C41" s="127">
        <x:v>1.05</x:v>
      </x:c>
      <x:c r="D41" s="127">
        <x:v>1.04</x:v>
      </x:c>
      <x:c r="E41" s="127">
        <x:v>1.04</x:v>
      </x:c>
      <x:c r="F41" s="127">
        <x:v>1.03</x:v>
      </x:c>
      <x:c r="G41" s="127" t="s">
        <x:v>678</x:v>
      </x:c>
    </x:row>
    <x:row r="42" ht="13.050000190734863" customHeight="1">
      <x:c r="A42" s="124">
        <x:v>1.3</x:v>
      </x:c>
      <x:c r="B42" s="125">
        <x:v>1.0900000000000001</x:v>
      </x:c>
      <x:c r="C42" s="125">
        <x:v>1.08</x:v>
      </x:c>
      <x:c r="D42" s="125">
        <x:v>1.06</x:v>
      </x:c>
      <x:c r="E42" s="125">
        <x:v>1.05</x:v>
      </x:c>
      <x:c r="F42" s="125">
        <x:v>1.04</x:v>
      </x:c>
      <x:c r="G42" s="125" t="s">
        <x:v>679</x:v>
      </x:c>
    </x:row>
    <x:row r="43" ht="13.050000190734863" customHeight="1">
      <x:c r="A43" s="126">
        <x:v>1.4</x:v>
      </x:c>
      <x:c r="B43" s="127">
        <x:v>1.1100000000000001</x:v>
      </x:c>
      <x:c r="C43" s="127">
        <x:v>1.1000000000000001</x:v>
      </x:c>
      <x:c r="D43" s="127">
        <x:v>1.08</x:v>
      </x:c>
      <x:c r="E43" s="127">
        <x:v>1.07</x:v>
      </x:c>
      <x:c r="F43" s="127">
        <x:v>1.05</x:v>
      </x:c>
      <x:c r="G43" s="127" t="s">
        <x:v>680</x:v>
      </x:c>
    </x:row>
    <x:row r="44" ht="13.050000190734863" customHeight="1">
      <x:c r="A44" s="124">
        <x:v>1.5</x:v>
      </x:c>
      <x:c r="B44" s="125">
        <x:v>1.1399999999999999</x:v>
      </x:c>
      <x:c r="C44" s="125">
        <x:v>1.1200000000000001</x:v>
      </x:c>
      <x:c r="D44" s="125">
        <x:v>1.1000000000000001</x:v>
      </x:c>
      <x:c r="E44" s="125">
        <x:v>1.08</x:v>
      </x:c>
      <x:c r="F44" s="125">
        <x:v>1.06</x:v>
      </x:c>
      <x:c r="G44" s="125" t="s">
        <x:v>681</x:v>
      </x:c>
    </x:row>
    <x:row r="45" ht="13.050000190734863" customHeight="1">
      <x:c r="A45" s="126">
        <x:v>1.6</x:v>
      </x:c>
      <x:c r="B45" s="127">
        <x:v>1.1599999999999999</x:v>
      </x:c>
      <x:c r="C45" s="127">
        <x:v>1.1399999999999999</x:v>
      </x:c>
      <x:c r="D45" s="127">
        <x:v>1.1200000000000001</x:v>
      </x:c>
      <x:c r="E45" s="127">
        <x:v>1.0900000000000001</x:v>
      </x:c>
      <x:c r="F45" s="127">
        <x:v>1.07</x:v>
      </x:c>
      <x:c r="G45" s="127" t="s">
        <x:v>682</x:v>
      </x:c>
    </x:row>
    <x:row r="46" ht="13.050000190734863" customHeight="1">
      <x:c r="A46" s="124">
        <x:v>1.7</x:v>
      </x:c>
      <x:c r="B46" s="125">
        <x:v>1.19</x:v>
      </x:c>
      <x:c r="C46" s="125">
        <x:v>1.1599999999999999</x:v>
      </x:c>
      <x:c r="D46" s="125">
        <x:v>1.1299999999999999</x:v>
      </x:c>
      <x:c r="E46" s="125">
        <x:v>1.1100000000000001</x:v>
      </x:c>
      <x:c r="F46" s="125">
        <x:v>1.08</x:v>
      </x:c>
      <x:c r="G46" s="125" t="s">
        <x:v>683</x:v>
      </x:c>
    </x:row>
    <x:row r="47" ht="13.050000190734863" customHeight="1">
      <x:c r="A47" s="126">
        <x:v>1.8</x:v>
      </x:c>
      <x:c r="B47" s="127">
        <x:v>1.21</x:v>
      </x:c>
      <x:c r="C47" s="127">
        <x:v>1.18</x:v>
      </x:c>
      <x:c r="D47" s="127">
        <x:v>1.1499999999999999</x:v>
      </x:c>
      <x:c r="E47" s="127">
        <x:v>1.1200000000000001</x:v>
      </x:c>
      <x:c r="F47" s="127">
        <x:v>1.0900000000000001</x:v>
      </x:c>
      <x:c r="G47" s="127" t="s">
        <x:v>684</x:v>
      </x:c>
    </x:row>
    <x:row r="48" ht="13.050000190734863" customHeight="1">
      <x:c r="A48" s="124">
        <x:v>1.9</x:v>
      </x:c>
      <x:c r="B48" s="125">
        <x:v>1.23</x:v>
      </x:c>
      <x:c r="C48" s="125">
        <x:v>1.19</x:v>
      </x:c>
      <x:c r="D48" s="125">
        <x:v>1.1599999999999999</x:v>
      </x:c>
      <x:c r="E48" s="125">
        <x:v>1.1299999999999999</x:v>
      </x:c>
      <x:c r="F48" s="125">
        <x:v>1.1000000000000001</x:v>
      </x:c>
      <x:c r="G48" s="125" t="s">
        <x:v>685</x:v>
      </x:c>
    </x:row>
    <x:row r="49" ht="13.050000190734863" customHeight="1">
      <x:c r="A49" s="126">
        <x:v>2</x:v>
      </x:c>
      <x:c r="B49" s="127">
        <x:v>1.25</x:v>
      </x:c>
      <x:c r="C49" s="127">
        <x:v>1.21</x:v>
      </x:c>
      <x:c r="D49" s="127">
        <x:v>1.18</x:v>
      </x:c>
      <x:c r="E49" s="127">
        <x:v>1.1399999999999999</x:v>
      </x:c>
      <x:c r="F49" s="127">
        <x:v>1.1100000000000001</x:v>
      </x:c>
      <x:c r="G49" s="127" t="s">
        <x:v>686</x:v>
      </x:c>
    </x:row>
    <x:row r="50" ht="13.050000190734863" customHeight="1">
      <x:c r="A50" s="124">
        <x:v>2.1</x:v>
      </x:c>
      <x:c r="B50" s="125">
        <x:v>1.27</x:v>
      </x:c>
      <x:c r="C50" s="125">
        <x:v>1.23</x:v>
      </x:c>
      <x:c r="D50" s="125">
        <x:v>1.19</x:v>
      </x:c>
      <x:c r="E50" s="125">
        <x:v>1.1499999999999999</x:v>
      </x:c>
      <x:c r="F50" s="125">
        <x:v>1.1200000000000001</x:v>
      </x:c>
      <x:c r="G50" s="125" t="s">
        <x:v>687</x:v>
      </x:c>
    </x:row>
    <x:row r="51" ht="13.050000190734863" customHeight="1">
      <x:c r="A51" s="126">
        <x:v>2.2000000000000002</x:v>
      </x:c>
      <x:c r="B51" s="127">
        <x:v>1.29</x:v>
      </x:c>
      <x:c r="C51" s="127">
        <x:v>1.24</x:v>
      </x:c>
      <x:c r="D51" s="127">
        <x:v>1.2</x:v>
      </x:c>
      <x:c r="E51" s="127">
        <x:v>1.1599999999999999</x:v>
      </x:c>
      <x:c r="F51" s="127">
        <x:v>1.1299999999999999</x:v>
      </x:c>
      <x:c r="G51" s="127" t="s">
        <x:v>688</x:v>
      </x:c>
    </x:row>
    <x:row r="52" ht="13.050000190734863" customHeight="1">
      <x:c r="A52" s="124">
        <x:v>2.2999999999999998</x:v>
      </x:c>
      <x:c r="B52" s="125">
        <x:v>1.31</x:v>
      </x:c>
      <x:c r="C52" s="125">
        <x:v>1.26</x:v>
      </x:c>
      <x:c r="D52" s="125">
        <x:v>1.22</x:v>
      </x:c>
      <x:c r="E52" s="125">
        <x:v>1.17</x:v>
      </x:c>
      <x:c r="F52" s="125">
        <x:v>1.1299999999999999</x:v>
      </x:c>
      <x:c r="G52" s="125" t="s">
        <x:v>689</x:v>
      </x:c>
    </x:row>
    <x:row r="53" ht="13.050000190734863" customHeight="1">
      <x:c r="A53" s="126">
        <x:v>2.4</x:v>
      </x:c>
      <x:c r="B53" s="127">
        <x:v>1.33</x:v>
      </x:c>
      <x:c r="C53" s="127">
        <x:v>1.28</x:v>
      </x:c>
      <x:c r="D53" s="127">
        <x:v>1.23</x:v>
      </x:c>
      <x:c r="E53" s="127">
        <x:v>1.18</x:v>
      </x:c>
      <x:c r="F53" s="127">
        <x:v>1.1399999999999999</x:v>
      </x:c>
      <x:c r="G53" s="127" t="s">
        <x:v>690</x:v>
      </x:c>
    </x:row>
    <x:row r="54" ht="13.050000190734863" customHeight="1">
      <x:c r="A54" s="124">
        <x:v>2.5</x:v>
      </x:c>
      <x:c r="B54" s="125">
        <x:v>1.34</x:v>
      </x:c>
      <x:c r="C54" s="125">
        <x:v>1.29</x:v>
      </x:c>
      <x:c r="D54" s="125">
        <x:v>1.24</x:v>
      </x:c>
      <x:c r="E54" s="125">
        <x:v>1.19</x:v>
      </x:c>
      <x:c r="F54" s="125">
        <x:v>1.1499999999999999</x:v>
      </x:c>
      <x:c r="G54" s="125" t="s">
        <x:v>691</x:v>
      </x:c>
    </x:row>
    <x:row r="55" ht="13.050000190734863" customHeight="1">
      <x:c r="A55" s="126">
        <x:v>2.6</x:v>
      </x:c>
      <x:c r="B55" s="127">
        <x:v>1.36</x:v>
      </x:c>
      <x:c r="C55" s="127">
        <x:v>1.3</x:v>
      </x:c>
      <x:c r="D55" s="127">
        <x:v>1.25</x:v>
      </x:c>
      <x:c r="E55" s="127">
        <x:v>1.2</x:v>
      </x:c>
      <x:c r="F55" s="127">
        <x:v>1.1599999999999999</x:v>
      </x:c>
      <x:c r="G55" s="127" t="s">
        <x:v>692</x:v>
      </x:c>
    </x:row>
    <x:row r="56" ht="13.050000190734863" customHeight="1">
      <x:c r="A56" s="124">
        <x:v>2.7</x:v>
      </x:c>
      <x:c r="B56" s="125">
        <x:v>1.38</x:v>
      </x:c>
      <x:c r="C56" s="125">
        <x:v>1.32</x:v>
      </x:c>
      <x:c r="D56" s="125">
        <x:v>1.26</x:v>
      </x:c>
      <x:c r="E56" s="125">
        <x:v>1.21</x:v>
      </x:c>
      <x:c r="F56" s="125">
        <x:v>1.1599999999999999</x:v>
      </x:c>
      <x:c r="G56" s="125" t="s">
        <x:v>693</x:v>
      </x:c>
    </x:row>
    <x:row r="57" ht="13.050000190734863" customHeight="1">
      <x:c r="A57" s="126">
        <x:v>2.8</x:v>
      </x:c>
      <x:c r="B57" s="127">
        <x:v>1.39</x:v>
      </x:c>
      <x:c r="C57" s="127">
        <x:v>1.33</x:v>
      </x:c>
      <x:c r="D57" s="127">
        <x:v>1.27</x:v>
      </x:c>
      <x:c r="E57" s="127">
        <x:v>1.22</x:v>
      </x:c>
      <x:c r="F57" s="127">
        <x:v>1.17</x:v>
      </x:c>
      <x:c r="G57" s="127" t="s">
        <x:v>694</x:v>
      </x:c>
    </x:row>
    <x:row r="58" ht="13.050000190734863" customHeight="1">
      <x:c r="A58" s="124">
        <x:v>2.9</x:v>
      </x:c>
      <x:c r="B58" s="125">
        <x:v>1.41</x:v>
      </x:c>
      <x:c r="C58" s="125">
        <x:v>1.34</x:v>
      </x:c>
      <x:c r="D58" s="125">
        <x:v>1.28</x:v>
      </x:c>
      <x:c r="E58" s="125">
        <x:v>1.23</x:v>
      </x:c>
      <x:c r="F58" s="125">
        <x:v>1.18</x:v>
      </x:c>
      <x:c r="G58" s="125" t="s">
        <x:v>695</x:v>
      </x:c>
    </x:row>
    <x:row r="59" ht="13.050000190734863" customHeight="1">
      <x:c r="A59" s="126">
        <x:v>3</x:v>
      </x:c>
      <x:c r="B59" s="127">
        <x:v>1.42</x:v>
      </x:c>
      <x:c r="C59" s="127">
        <x:v>1.36</x:v>
      </x:c>
      <x:c r="D59" s="127">
        <x:v>1.29</x:v>
      </x:c>
      <x:c r="E59" s="127">
        <x:v>1.24</x:v>
      </x:c>
      <x:c r="F59" s="127">
        <x:v>1.18</x:v>
      </x:c>
      <x:c r="G59" s="127" t="s">
        <x:v>696</x:v>
      </x:c>
    </x:row>
    <x:row r="60" ht="13.050000190734863" customHeight="1">
      <x:c r="A60" s="124">
        <x:v>3.1</x:v>
      </x:c>
      <x:c r="B60" s="125">
        <x:v>1.44</x:v>
      </x:c>
      <x:c r="C60" s="125">
        <x:v>1.37</x:v>
      </x:c>
      <x:c r="D60" s="125">
        <x:v>1.3</x:v>
      </x:c>
      <x:c r="E60" s="125">
        <x:v>1.24</x:v>
      </x:c>
      <x:c r="F60" s="125">
        <x:v>1.19</x:v>
      </x:c>
      <x:c r="G60" s="125" t="s">
        <x:v>697</x:v>
      </x:c>
    </x:row>
    <x:row r="61" ht="13.050000190734863" customHeight="1">
      <x:c r="A61" s="126">
        <x:v>3.2</x:v>
      </x:c>
      <x:c r="B61" s="127">
        <x:v>1.45</x:v>
      </x:c>
      <x:c r="C61" s="127">
        <x:v>1.38</x:v>
      </x:c>
      <x:c r="D61" s="127">
        <x:v>1.31</x:v>
      </x:c>
      <x:c r="E61" s="127">
        <x:v>1.25</x:v>
      </x:c>
      <x:c r="F61" s="127">
        <x:v>1.19</x:v>
      </x:c>
      <x:c r="G61" s="127" t="s">
        <x:v>698</x:v>
      </x:c>
    </x:row>
    <x:row r="62" ht="13.050000190734863" customHeight="1">
      <x:c r="A62" s="124">
        <x:v>3.3</x:v>
      </x:c>
      <x:c r="B62" s="125">
        <x:v>1.47</x:v>
      </x:c>
      <x:c r="C62" s="125">
        <x:v>1.39</x:v>
      </x:c>
      <x:c r="D62" s="125">
        <x:v>1.32</x:v>
      </x:c>
      <x:c r="E62" s="125">
        <x:v>1.26</x:v>
      </x:c>
      <x:c r="F62" s="125">
        <x:v>1.2</x:v>
      </x:c>
      <x:c r="G62" s="125" t="s">
        <x:v>699</x:v>
      </x:c>
    </x:row>
    <x:row r="63" ht="13.050000190734863" customHeight="1">
      <x:c r="A63" s="126">
        <x:v>3.4</x:v>
      </x:c>
      <x:c r="B63" s="127">
        <x:v>1.48</x:v>
      </x:c>
      <x:c r="C63" s="127">
        <x:v>1.4</x:v>
      </x:c>
      <x:c r="D63" s="127">
        <x:v>1.33</x:v>
      </x:c>
      <x:c r="E63" s="127">
        <x:v>1.27</x:v>
      </x:c>
      <x:c r="F63" s="127">
        <x:v>1.2</x:v>
      </x:c>
      <x:c r="G63" s="127" t="s">
        <x:v>700</x:v>
      </x:c>
    </x:row>
    <x:row r="64" ht="13.050000190734863" customHeight="1">
      <x:c r="A64" s="124">
        <x:v>3.5</x:v>
      </x:c>
      <x:c r="B64" s="125">
        <x:v>1.5</x:v>
      </x:c>
      <x:c r="C64" s="125">
        <x:v>1.42</x:v>
      </x:c>
      <x:c r="D64" s="125">
        <x:v>1.34</x:v>
      </x:c>
      <x:c r="E64" s="125">
        <x:v>1.27</x:v>
      </x:c>
      <x:c r="F64" s="125">
        <x:v>1.21</x:v>
      </x:c>
      <x:c r="G64" s="125" t="s">
        <x:v>701</x:v>
      </x:c>
    </x:row>
    <x:row r="65" ht="13.050000190734863" customHeight="1">
      <x:c r="A65" s="126">
        <x:v>3.6</x:v>
      </x:c>
      <x:c r="B65" s="127">
        <x:v>1.51</x:v>
      </x:c>
      <x:c r="C65" s="127">
        <x:v>1.43</x:v>
      </x:c>
      <x:c r="D65" s="127">
        <x:v>1.35</x:v>
      </x:c>
      <x:c r="E65" s="127">
        <x:v>1.28</x:v>
      </x:c>
      <x:c r="F65" s="127">
        <x:v>1.21</x:v>
      </x:c>
      <x:c r="G65" s="127" t="s">
        <x:v>702</x:v>
      </x:c>
    </x:row>
    <x:row r="66" ht="13.050000190734863" customHeight="1">
      <x:c r="A66" s="124">
        <x:v>3.7</x:v>
      </x:c>
      <x:c r="B66" s="125">
        <x:v>1.52</x:v>
      </x:c>
      <x:c r="C66" s="125">
        <x:v>1.44</x:v>
      </x:c>
      <x:c r="D66" s="125">
        <x:v>1.36</x:v>
      </x:c>
      <x:c r="E66" s="125">
        <x:v>1.29</x:v>
      </x:c>
      <x:c r="F66" s="125">
        <x:v>1.22</x:v>
      </x:c>
      <x:c r="G66" s="125" t="s">
        <x:v>703</x:v>
      </x:c>
    </x:row>
    <x:row r="67" ht="13.050000190734863" customHeight="1">
      <x:c r="A67" s="126">
        <x:v>3.8</x:v>
      </x:c>
      <x:c r="B67" s="127">
        <x:v>1.54</x:v>
      </x:c>
      <x:c r="C67" s="127">
        <x:v>1.45</x:v>
      </x:c>
      <x:c r="D67" s="127">
        <x:v>1.37</x:v>
      </x:c>
      <x:c r="E67" s="127">
        <x:v>1.29</x:v>
      </x:c>
      <x:c r="F67" s="127">
        <x:v>1.22</x:v>
      </x:c>
      <x:c r="G67" s="127" t="s">
        <x:v>704</x:v>
      </x:c>
    </x:row>
    <x:row r="68" ht="13.050000190734863" customHeight="1">
      <x:c r="A68" s="124">
        <x:v>3.9</x:v>
      </x:c>
      <x:c r="B68" s="125">
        <x:v>1.55</x:v>
      </x:c>
      <x:c r="C68" s="125">
        <x:v>1.46</x:v>
      </x:c>
      <x:c r="D68" s="125">
        <x:v>1.38</x:v>
      </x:c>
      <x:c r="E68" s="125">
        <x:v>1.3</x:v>
      </x:c>
      <x:c r="F68" s="125">
        <x:v>1.23</x:v>
      </x:c>
      <x:c r="G68" s="125" t="s">
        <x:v>705</x:v>
      </x:c>
    </x:row>
    <x:row r="69" ht="13.050000190734863" customHeight="1">
      <x:c r="A69" s="126">
        <x:v>4</x:v>
      </x:c>
      <x:c r="B69" s="127">
        <x:v>1.56</x:v>
      </x:c>
      <x:c r="C69" s="127">
        <x:v>1.47</x:v>
      </x:c>
      <x:c r="D69" s="127">
        <x:v>1.39</x:v>
      </x:c>
      <x:c r="E69" s="127">
        <x:v>1.31</x:v>
      </x:c>
      <x:c r="F69" s="127">
        <x:v>1.23</x:v>
      </x:c>
      <x:c r="G69" s="127" t="s">
        <x:v>706</x:v>
      </x:c>
    </x:row>
    <x:row r="70" ht="13.050000190734863" customHeight="1">
      <x:c r="A70" s="124">
        <x:v>4.0999999999999996</x:v>
      </x:c>
      <x:c r="B70" s="125">
        <x:v>1.58</x:v>
      </x:c>
      <x:c r="C70" s="125">
        <x:v>1.48</x:v>
      </x:c>
      <x:c r="D70" s="125">
        <x:v>1.39</x:v>
      </x:c>
      <x:c r="E70" s="125">
        <x:v>1.31</x:v>
      </x:c>
      <x:c r="F70" s="125">
        <x:v>1.24</x:v>
      </x:c>
      <x:c r="G70" s="125" t="s">
        <x:v>706</x:v>
      </x:c>
    </x:row>
    <x:row r="71" ht="13.050000190734863" customHeight="1">
      <x:c r="A71" s="126">
        <x:v>4.2</x:v>
      </x:c>
      <x:c r="B71" s="127">
        <x:v>1.59</x:v>
      </x:c>
      <x:c r="C71" s="127">
        <x:v>1.49</x:v>
      </x:c>
      <x:c r="D71" s="127">
        <x:v>1.4</x:v>
      </x:c>
      <x:c r="E71" s="127">
        <x:v>1.32</x:v>
      </x:c>
      <x:c r="F71" s="127">
        <x:v>1.24</x:v>
      </x:c>
      <x:c r="G71" s="127" t="s">
        <x:v>707</x:v>
      </x:c>
    </x:row>
    <x:row r="72" ht="13.050000190734863" customHeight="1">
      <x:c r="A72" s="124">
        <x:v>4.3</x:v>
      </x:c>
      <x:c r="B72" s="125">
        <x:v>1.6</x:v>
      </x:c>
      <x:c r="C72" s="125">
        <x:v>1.5</x:v>
      </x:c>
      <x:c r="D72" s="125">
        <x:v>1.41</x:v>
      </x:c>
      <x:c r="E72" s="125">
        <x:v>1.32</x:v>
      </x:c>
      <x:c r="F72" s="125">
        <x:v>1.25</x:v>
      </x:c>
      <x:c r="G72" s="125" t="s">
        <x:v>708</x:v>
      </x:c>
    </x:row>
    <x:row r="73" ht="13.050000190734863" customHeight="1">
      <x:c r="A73" s="126">
        <x:v>4.4000000000000004</x:v>
      </x:c>
      <x:c r="B73" s="127">
        <x:v>1.61</x:v>
      </x:c>
      <x:c r="C73" s="127">
        <x:v>1.51</x:v>
      </x:c>
      <x:c r="D73" s="127">
        <x:v>1.42</x:v>
      </x:c>
      <x:c r="E73" s="127">
        <x:v>1.33</x:v>
      </x:c>
      <x:c r="F73" s="127">
        <x:v>1.25</x:v>
      </x:c>
      <x:c r="G73" s="127" t="s">
        <x:v>709</x:v>
      </x:c>
    </x:row>
    <x:row r="74" ht="13.050000190734863" customHeight="1">
      <x:c r="A74" s="124">
        <x:v>4.5</x:v>
      </x:c>
      <x:c r="B74" s="125">
        <x:v>1.62</x:v>
      </x:c>
      <x:c r="C74" s="125">
        <x:v>1.52</x:v>
      </x:c>
      <x:c r="D74" s="125">
        <x:v>1.42</x:v>
      </x:c>
      <x:c r="E74" s="125">
        <x:v>1.34</x:v>
      </x:c>
      <x:c r="F74" s="125">
        <x:v>1.26</x:v>
      </x:c>
      <x:c r="G74" s="125" t="s">
        <x:v>709</x:v>
      </x:c>
    </x:row>
    <x:row r="75" ht="13.050000190734863" customHeight="1">
      <x:c r="A75" s="126">
        <x:v>4.5999999999999996</x:v>
      </x:c>
      <x:c r="B75" s="127">
        <x:v>1.63</x:v>
      </x:c>
      <x:c r="C75" s="127">
        <x:v>1.53</x:v>
      </x:c>
      <x:c r="D75" s="127">
        <x:v>1.43</x:v>
      </x:c>
      <x:c r="E75" s="127">
        <x:v>1.34</x:v>
      </x:c>
      <x:c r="F75" s="127">
        <x:v>1.26</x:v>
      </x:c>
      <x:c r="G75" s="127" t="s">
        <x:v>710</x:v>
      </x:c>
    </x:row>
    <x:row r="76" ht="13.050000190734863" customHeight="1">
      <x:c r="A76" s="124">
        <x:v>4.7</x:v>
      </x:c>
      <x:c r="B76" s="125">
        <x:v>1.65</x:v>
      </x:c>
      <x:c r="C76" s="125">
        <x:v>1.54</x:v>
      </x:c>
      <x:c r="D76" s="125">
        <x:v>1.44</x:v>
      </x:c>
      <x:c r="E76" s="125">
        <x:v>1.35</x:v>
      </x:c>
      <x:c r="F76" s="125">
        <x:v>1.27</x:v>
      </x:c>
      <x:c r="G76" s="125" t="s">
        <x:v>711</x:v>
      </x:c>
    </x:row>
    <x:row r="77" ht="13.050000190734863" customHeight="1">
      <x:c r="A77" s="126">
        <x:v>4.8</x:v>
      </x:c>
      <x:c r="B77" s="127">
        <x:v>1.66</x:v>
      </x:c>
      <x:c r="C77" s="127">
        <x:v>1.55</x:v>
      </x:c>
      <x:c r="D77" s="127">
        <x:v>1.45</x:v>
      </x:c>
      <x:c r="E77" s="127">
        <x:v>1.35</x:v>
      </x:c>
      <x:c r="F77" s="127">
        <x:v>1.27</x:v>
      </x:c>
      <x:c r="G77" s="127" t="s">
        <x:v>712</x:v>
      </x:c>
    </x:row>
    <x:row r="78" ht="13.050000190734863" customHeight="1">
      <x:c r="A78" s="124">
        <x:v>4.9000000000000004</x:v>
      </x:c>
      <x:c r="B78" s="125">
        <x:v>1.67</x:v>
      </x:c>
      <x:c r="C78" s="125">
        <x:v>1.55</x:v>
      </x:c>
      <x:c r="D78" s="125">
        <x:v>1.45</x:v>
      </x:c>
      <x:c r="E78" s="125">
        <x:v>1.36</x:v>
      </x:c>
      <x:c r="F78" s="125">
        <x:v>1.27</x:v>
      </x:c>
      <x:c r="G78" s="125" t="s">
        <x:v>712</x:v>
      </x:c>
    </x:row>
    <x:row r="79" ht="13.050000190734863" customHeight="1">
      <x:c r="A79" s="126">
        <x:v>5</x:v>
      </x:c>
      <x:c r="B79" s="127">
        <x:v>1.68</x:v>
      </x:c>
      <x:c r="C79" s="127">
        <x:v>1.56</x:v>
      </x:c>
      <x:c r="D79" s="127">
        <x:v>1.46</x:v>
      </x:c>
      <x:c r="E79" s="127">
        <x:v>1.36</x:v>
      </x:c>
      <x:c r="F79" s="127">
        <x:v>1.28</x:v>
      </x:c>
      <x:c r="G79" s="127" t="s">
        <x:v>713</x:v>
      </x:c>
    </x:row>
    <x:row r="80" ht="13.050000190734863" customHeight="1">
      <x:c r="A80" s="124">
        <x:v>5.5</x:v>
      </x:c>
      <x:c r="B80" s="125">
        <x:v>1.73</x:v>
      </x:c>
      <x:c r="C80" s="125">
        <x:v>1.61</x:v>
      </x:c>
      <x:c r="D80" s="125">
        <x:v>1.49</x:v>
      </x:c>
      <x:c r="E80" s="125">
        <x:v>1.39</x:v>
      </x:c>
      <x:c r="F80" s="125">
        <x:v>1.3</x:v>
      </x:c>
      <x:c r="G80" s="125" t="s">
        <x:v>714</x:v>
      </x:c>
    </x:row>
    <x:row r="81" ht="13.050000190734863" customHeight="1">
      <x:c r="A81" s="126">
        <x:v>6</x:v>
      </x:c>
      <x:c r="B81" s="127">
        <x:v>1.78</x:v>
      </x:c>
      <x:c r="C81" s="127">
        <x:v>1.64</x:v>
      </x:c>
      <x:c r="D81" s="127">
        <x:v>1.52</x:v>
      </x:c>
      <x:c r="E81" s="127">
        <x:v>1.41</x:v>
      </x:c>
      <x:c r="F81" s="127">
        <x:v>1.31</x:v>
      </x:c>
      <x:c r="G81" s="127" t="s">
        <x:v>715</x:v>
      </x:c>
    </x:row>
    <x:row r="82" ht="13.050000190734863" customHeight="1">
      <x:c r="A82" s="124">
        <x:v>6.5</x:v>
      </x:c>
      <x:c r="B82" s="125">
        <x:v>1.83</x:v>
      </x:c>
      <x:c r="C82" s="125">
        <x:v>1.68</x:v>
      </x:c>
      <x:c r="D82" s="125">
        <x:v>1.55</x:v>
      </x:c>
      <x:c r="E82" s="125">
        <x:v>1.43</x:v>
      </x:c>
      <x:c r="F82" s="125">
        <x:v>1.33</x:v>
      </x:c>
      <x:c r="G82" s="125" t="s">
        <x:v>716</x:v>
      </x:c>
    </x:row>
    <x:row r="83" ht="13.050000190734863" customHeight="1">
      <x:c r="A83" s="126">
        <x:v>7</x:v>
      </x:c>
      <x:c r="B83" s="127">
        <x:v>1.87</x:v>
      </x:c>
      <x:c r="C83" s="127">
        <x:v>1.72</x:v>
      </x:c>
      <x:c r="D83" s="127">
        <x:v>1.58</x:v>
      </x:c>
      <x:c r="E83" s="127">
        <x:v>1.45</x:v>
      </x:c>
      <x:c r="F83" s="127">
        <x:v>1.34</x:v>
      </x:c>
      <x:c r="G83" s="127" t="s">
        <x:v>717</x:v>
      </x:c>
    </x:row>
    <x:row r="84" ht="13.050000190734863" customHeight="1">
      <x:c r="A84" s="124">
        <x:v>7.5</x:v>
      </x:c>
      <x:c r="B84" s="125">
        <x:v>1.91</x:v>
      </x:c>
      <x:c r="C84" s="125">
        <x:v>1.75</x:v>
      </x:c>
      <x:c r="D84" s="125">
        <x:v>1.61</x:v>
      </x:c>
      <x:c r="E84" s="125">
        <x:v>1.47</x:v>
      </x:c>
      <x:c r="F84" s="125">
        <x:v>1.36</x:v>
      </x:c>
      <x:c r="G84" s="125" t="s">
        <x:v>718</x:v>
      </x:c>
    </x:row>
    <x:row r="85" ht="13.050000190734863" customHeight="1">
      <x:c r="A85" s="126">
        <x:v>8</x:v>
      </x:c>
      <x:c r="B85" s="127">
        <x:v>1.95</x:v>
      </x:c>
      <x:c r="C85" s="127">
        <x:v>1.78</x:v>
      </x:c>
      <x:c r="D85" s="127">
        <x:v>1.63</x:v>
      </x:c>
      <x:c r="E85" s="127">
        <x:v>1.49</x:v>
      </x:c>
      <x:c r="F85" s="127">
        <x:v>1.37</x:v>
      </x:c>
      <x:c r="G85" s="127" t="s">
        <x:v>719</x:v>
      </x:c>
    </x:row>
    <x:row r="86" ht="13.050000190734863" customHeight="1">
      <x:c r="A86" s="124">
        <x:v>8.5</x:v>
      </x:c>
      <x:c r="B86" s="125">
        <x:v>1.99</x:v>
      </x:c>
      <x:c r="C86" s="125">
        <x:v>1.81</x:v>
      </x:c>
      <x:c r="D86" s="125">
        <x:v>1.65</x:v>
      </x:c>
      <x:c r="E86" s="125">
        <x:v>1.51</x:v>
      </x:c>
      <x:c r="F86" s="125">
        <x:v>1.38</x:v>
      </x:c>
      <x:c r="G86" s="125" t="s">
        <x:v>720</x:v>
      </x:c>
    </x:row>
    <x:row r="87" ht="13.050000190734863" customHeight="1">
      <x:c r="A87" s="126">
        <x:v>9</x:v>
      </x:c>
      <x:c r="B87" s="127">
        <x:v>2.0299999999999998</x:v>
      </x:c>
      <x:c r="C87" s="127">
        <x:v>1.84</x:v>
      </x:c>
      <x:c r="D87" s="127">
        <x:v>1.68</x:v>
      </x:c>
      <x:c r="E87" s="127">
        <x:v>1.53</x:v>
      </x:c>
      <x:c r="F87" s="127">
        <x:v>1.4</x:v>
      </x:c>
      <x:c r="G87" s="127" t="s">
        <x:v>721</x:v>
      </x:c>
    </x:row>
    <x:row r="88" ht="13.050000190734863" customHeight="1">
      <x:c r="A88" s="124">
        <x:v>9.5</x:v>
      </x:c>
      <x:c r="B88" s="125">
        <x:v>2.06</x:v>
      </x:c>
      <x:c r="C88" s="125">
        <x:v>1.87</x:v>
      </x:c>
      <x:c r="D88" s="125">
        <x:v>1.7</x:v>
      </x:c>
      <x:c r="E88" s="125">
        <x:v>1.54</x:v>
      </x:c>
      <x:c r="F88" s="125">
        <x:v>1.41</x:v>
      </x:c>
      <x:c r="G88" s="125" t="s">
        <x:v>722</x:v>
      </x:c>
    </x:row>
    <x:row r="89" ht="13.050000190734863" customHeight="1">
      <x:c r="A89" s="126">
        <x:v>10</x:v>
      </x:c>
      <x:c r="B89" s="127">
        <x:v>2.1</x:v>
      </x:c>
      <x:c r="C89" s="127">
        <x:v>1.89</x:v>
      </x:c>
      <x:c r="D89" s="127">
        <x:v>1.72</x:v>
      </x:c>
      <x:c r="E89" s="127">
        <x:v>1.56</x:v>
      </x:c>
      <x:c r="F89" s="127">
        <x:v>1.42</x:v>
      </x:c>
      <x:c r="G89" s="127" t="s">
        <x:v>723</x:v>
      </x:c>
    </x:row>
    <x:row r="90" ht="13.050000190734863" customHeight="1">
      <x:c r="A90" s="124">
        <x:v>11</x:v>
      </x:c>
      <x:c r="B90" s="125">
        <x:v>2.16</x:v>
      </x:c>
      <x:c r="C90" s="125">
        <x:v>1.95</x:v>
      </x:c>
      <x:c r="D90" s="125">
        <x:v>1.76</x:v>
      </x:c>
      <x:c r="E90" s="125">
        <x:v>1.59</x:v>
      </x:c>
      <x:c r="F90" s="125">
        <x:v>1.44</x:v>
      </x:c>
      <x:c r="G90" s="125" t="s">
        <x:v>724</x:v>
      </x:c>
    </x:row>
    <x:row r="91" ht="13.050000190734863" customHeight="1">
      <x:c r="A91" s="126">
        <x:v>12</x:v>
      </x:c>
      <x:c r="B91" s="127">
        <x:v>2.23</x:v>
      </x:c>
      <x:c r="C91" s="127">
        <x:v>1.99</x:v>
      </x:c>
      <x:c r="D91" s="127">
        <x:v>1.79</x:v>
      </x:c>
      <x:c r="E91" s="127">
        <x:v>1.61</x:v>
      </x:c>
      <x:c r="F91" s="127">
        <x:v>1.46</x:v>
      </x:c>
      <x:c r="G91" s="127" t="s">
        <x:v>725</x:v>
      </x:c>
    </x:row>
    <x:row r="92" ht="13.050000190734863" customHeight="1">
      <x:c r="A92" s="124">
        <x:v>13</x:v>
      </x:c>
      <x:c r="B92" s="125">
        <x:v>2.2799999999999998</x:v>
      </x:c>
      <x:c r="C92" s="125">
        <x:v>2.04</x:v>
      </x:c>
      <x:c r="D92" s="125">
        <x:v>1.83</x:v>
      </x:c>
      <x:c r="E92" s="125">
        <x:v>1.64</x:v>
      </x:c>
      <x:c r="F92" s="125">
        <x:v>1.48</x:v>
      </x:c>
      <x:c r="G92" s="125" t="s">
        <x:v>726</x:v>
      </x:c>
    </x:row>
    <x:row r="93" ht="13.050000190734863" customHeight="1">
      <x:c r="A93" s="126">
        <x:v>14</x:v>
      </x:c>
      <x:c r="B93" s="127">
        <x:v>2.34</x:v>
      </x:c>
      <x:c r="C93" s="127">
        <x:v>2.08</x:v>
      </x:c>
      <x:c r="D93" s="127">
        <x:v>1.86</x:v>
      </x:c>
      <x:c r="E93" s="127">
        <x:v>1.66</x:v>
      </x:c>
      <x:c r="F93" s="127">
        <x:v>1.49</x:v>
      </x:c>
      <x:c r="G93" s="127" t="s">
        <x:v>727</x:v>
      </x:c>
    </x:row>
    <x:row r="94" ht="13.050000190734863" customHeight="1">
      <x:c r="A94" s="124">
        <x:v>15</x:v>
      </x:c>
      <x:c r="B94" s="125">
        <x:v>2.39</x:v>
      </x:c>
      <x:c r="C94" s="125">
        <x:v>2.12</x:v>
      </x:c>
      <x:c r="D94" s="125">
        <x:v>1.89</x:v>
      </x:c>
      <x:c r="E94" s="125">
        <x:v>1.68</x:v>
      </x:c>
      <x:c r="F94" s="125">
        <x:v>1.51</x:v>
      </x:c>
      <x:c r="G94" s="125" t="s">
        <x:v>728</x:v>
      </x:c>
    </x:row>
    <x:row r="95" ht="13.050000190734863" customHeight="1">
      <x:c r="A95" s="126">
        <x:v>16</x:v>
      </x:c>
      <x:c r="B95" s="127">
        <x:v>2.44</x:v>
      </x:c>
      <x:c r="C95" s="127">
        <x:v>2.16</x:v>
      </x:c>
      <x:c r="D95" s="127">
        <x:v>1.92</x:v>
      </x:c>
      <x:c r="E95" s="127">
        <x:v>1.71</x:v>
      </x:c>
      <x:c r="F95" s="127">
        <x:v>1.52</x:v>
      </x:c>
      <x:c r="G95" s="127" t="s">
        <x:v>729</x:v>
      </x:c>
    </x:row>
    <x:row r="96" ht="13.050000190734863" customHeight="1">
      <x:c r="A96" s="124">
        <x:v>17</x:v>
      </x:c>
      <x:c r="B96" s="125">
        <x:v>2.4900000000000002</x:v>
      </x:c>
      <x:c r="C96" s="125">
        <x:v>2.2000000000000002</x:v>
      </x:c>
      <x:c r="D96" s="125">
        <x:v>1.95</x:v>
      </x:c>
      <x:c r="E96" s="125">
        <x:v>1.73</x:v>
      </x:c>
      <x:c r="F96" s="125">
        <x:v>1.54</x:v>
      </x:c>
      <x:c r="G96" s="125" t="s">
        <x:v>730</x:v>
      </x:c>
    </x:row>
    <x:row r="97" ht="13.050000190734863" customHeight="1">
      <x:c r="A97" s="126">
        <x:v>18</x:v>
      </x:c>
      <x:c r="B97" s="127">
        <x:v>2.54</x:v>
      </x:c>
      <x:c r="C97" s="127">
        <x:v>2.23</x:v>
      </x:c>
      <x:c r="D97" s="127">
        <x:v>1.97</x:v>
      </x:c>
      <x:c r="E97" s="127">
        <x:v>1.75</x:v>
      </x:c>
      <x:c r="F97" s="127">
        <x:v>1.55</x:v>
      </x:c>
      <x:c r="G97" s="127" t="s">
        <x:v>731</x:v>
      </x:c>
    </x:row>
    <x:row r="98" ht="13.050000190734863" customHeight="1">
      <x:c r="A98" s="124">
        <x:v>19</x:v>
      </x:c>
      <x:c r="B98" s="125">
        <x:v>2.58</x:v>
      </x:c>
      <x:c r="C98" s="125">
        <x:v>2.2599999999999998</x:v>
      </x:c>
      <x:c r="D98" s="125">
        <x:v>2</x:v>
      </x:c>
      <x:c r="E98" s="125">
        <x:v>1.76</x:v>
      </x:c>
      <x:c r="F98" s="125">
        <x:v>1.56</x:v>
      </x:c>
      <x:c r="G98" s="125" t="s">
        <x:v>732</x:v>
      </x:c>
    </x:row>
    <x:row r="99" ht="13.050000190734863" customHeight="1">
      <x:c r="A99" s="126">
        <x:v>20</x:v>
      </x:c>
      <x:c r="B99" s="127">
        <x:v>2.62</x:v>
      </x:c>
      <x:c r="C99" s="127">
        <x:v>2.2999999999999998</x:v>
      </x:c>
      <x:c r="D99" s="127">
        <x:v>2.02</x:v>
      </x:c>
      <x:c r="E99" s="127">
        <x:v>1.78</x:v>
      </x:c>
      <x:c r="F99" s="127">
        <x:v>1.58</x:v>
      </x:c>
      <x:c r="G99" s="127" t="s">
        <x:v>733</x:v>
      </x:c>
    </x:row>
    <x:row r="100" ht="13.050000190734863" customHeight="1">
      <x:c r="A100" s="124">
        <x:v>25</x:v>
      </x:c>
      <x:c r="B100" s="125">
        <x:v>2.82</x:v>
      </x:c>
      <x:c r="C100" s="125">
        <x:v>2.44</x:v>
      </x:c>
      <x:c r="D100" s="125">
        <x:v>2.13</x:v>
      </x:c>
      <x:c r="E100" s="125">
        <x:v>1.86</x:v>
      </x:c>
      <x:c r="F100" s="125">
        <x:v>1.63</x:v>
      </x:c>
      <x:c r="G100" s="125" t="s">
        <x:v>734</x:v>
      </x:c>
    </x:row>
    <x:row r="101" ht="13.050000190734863" customHeight="1">
      <x:c r="A101" s="126">
        <x:v>30</x:v>
      </x:c>
      <x:c r="B101" s="127">
        <x:v>2.99</x:v>
      </x:c>
      <x:c r="C101" s="127">
        <x:v>2.57</x:v>
      </x:c>
      <x:c r="D101" s="127">
        <x:v>2.2200000000000002</x:v>
      </x:c>
      <x:c r="E101" s="127">
        <x:v>1.93</x:v>
      </x:c>
      <x:c r="F101" s="127">
        <x:v>1.68</x:v>
      </x:c>
      <x:c r="G101" s="127" t="s">
        <x:v>735</x:v>
      </x:c>
    </x:row>
    <x:row r="102" ht="13.050000190734863" customHeight="1">
      <x:c r="A102" s="124">
        <x:v>35</x:v>
      </x:c>
      <x:c r="B102" s="125">
        <x:v>3.14</x:v>
      </x:c>
      <x:c r="C102" s="125">
        <x:v>2.68</x:v>
      </x:c>
      <x:c r="D102" s="125">
        <x:v>2.31</x:v>
      </x:c>
      <x:c r="E102" s="125">
        <x:v>1.98</x:v>
      </x:c>
      <x:c r="F102" s="125">
        <x:v>1.72</x:v>
      </x:c>
      <x:c r="G102" s="125" t="s">
        <x:v>736</x:v>
      </x:c>
    </x:row>
    <x:row r="103" ht="13.050000190734863" customHeight="1">
      <x:c r="A103" s="126">
        <x:v>40</x:v>
      </x:c>
      <x:c r="B103" s="127">
        <x:v>3.28</x:v>
      </x:c>
      <x:c r="C103" s="127">
        <x:v>2.78</x:v>
      </x:c>
      <x:c r="D103" s="127">
        <x:v>2.38</x:v>
      </x:c>
      <x:c r="E103" s="127">
        <x:v>2.04</x:v>
      </x:c>
      <x:c r="F103" s="127">
        <x:v>1.75</x:v>
      </x:c>
      <x:c r="G103" s="127" t="s">
        <x:v>737</x:v>
      </x:c>
    </x:row>
    <x:row r="104" ht="13.050000190734863" customHeight="1">
      <x:c r="A104" s="124">
        <x:v>45</x:v>
      </x:c>
      <x:c r="B104" s="125">
        <x:v>3.41</x:v>
      </x:c>
      <x:c r="C104" s="125">
        <x:v>2.88</x:v>
      </x:c>
      <x:c r="D104" s="125">
        <x:v>2.4500000000000002</x:v>
      </x:c>
      <x:c r="E104" s="125">
        <x:v>2.08</x:v>
      </x:c>
      <x:c r="F104" s="125">
        <x:v>1.78</x:v>
      </x:c>
      <x:c r="G104" s="125" t="s">
        <x:v>738</x:v>
      </x:c>
    </x:row>
    <x:row r="105" ht="13.050000190734863" customHeight="1">
      <x:c r="A105" s="126">
        <x:v>50</x:v>
      </x:c>
      <x:c r="B105" s="127">
        <x:v>3.52</x:v>
      </x:c>
      <x:c r="C105" s="127">
        <x:v>2.96</x:v>
      </x:c>
      <x:c r="D105" s="127">
        <x:v>2.5099999999999998</x:v>
      </x:c>
      <x:c r="E105" s="127">
        <x:v>2.12</x:v>
      </x:c>
      <x:c r="F105" s="127">
        <x:v>1.81</x:v>
      </x:c>
      <x:c r="G105" s="127" t="s">
        <x:v>739</x:v>
      </x:c>
    </x:row>
    <x:row r="106" ht="13.050000190734863" customHeight="1">
      <x:c r="A106" s="124">
        <x:v>55</x:v>
      </x:c>
      <x:c r="B106" s="125">
        <x:v>3.63</x:v>
      </x:c>
      <x:c r="C106" s="125">
        <x:v>3.04</x:v>
      </x:c>
      <x:c r="D106" s="125">
        <x:v>2.56</x:v>
      </x:c>
      <x:c r="E106" s="125">
        <x:v>2.16</x:v>
      </x:c>
      <x:c r="F106" s="125">
        <x:v>1.84</x:v>
      </x:c>
      <x:c r="G106" s="125" t="s">
        <x:v>740</x:v>
      </x:c>
    </x:row>
    <x:row r="107" ht="13.050000190734863" customHeight="1">
      <x:c r="A107" s="126">
        <x:v>60</x:v>
      </x:c>
      <x:c r="B107" s="127">
        <x:v>3.74</x:v>
      </x:c>
      <x:c r="C107" s="127">
        <x:v>3.12</x:v>
      </x:c>
      <x:c r="D107" s="127">
        <x:v>2.62</x:v>
      </x:c>
      <x:c r="E107" s="127">
        <x:v>2.2000000000000002</x:v>
      </x:c>
      <x:c r="F107" s="127">
        <x:v>1.86</x:v>
      </x:c>
      <x:c r="G107" s="127" t="s">
        <x:v>741</x:v>
      </x:c>
    </x:row>
    <x:row r="108" ht="13.050000190734863" customHeight="1">
      <x:c r="A108" s="124">
        <x:v>65</x:v>
      </x:c>
      <x:c r="B108" s="125">
        <x:v>3.83</x:v>
      </x:c>
      <x:c r="C108" s="125">
        <x:v>3.19</x:v>
      </x:c>
      <x:c r="D108" s="125">
        <x:v>2.67</x:v>
      </x:c>
      <x:c r="E108" s="125">
        <x:v>2.23</x:v>
      </x:c>
      <x:c r="F108" s="125">
        <x:v>1.89</x:v>
      </x:c>
      <x:c r="G108" s="125" t="s">
        <x:v>742</x:v>
      </x:c>
    </x:row>
    <x:row r="109" ht="13.050000190734863" customHeight="1">
      <x:c r="A109" s="126">
        <x:v>70</x:v>
      </x:c>
      <x:c r="B109" s="127">
        <x:v>3.93</x:v>
      </x:c>
      <x:c r="C109" s="127">
        <x:v>3.25</x:v>
      </x:c>
      <x:c r="D109" s="127">
        <x:v>2.71</x:v>
      </x:c>
      <x:c r="E109" s="127">
        <x:v>2.27</x:v>
      </x:c>
      <x:c r="F109" s="127">
        <x:v>1.91</x:v>
      </x:c>
      <x:c r="G109" s="127" t="s">
        <x:v>743</x:v>
      </x:c>
    </x:row>
    <x:row r="110" ht="13.050000190734863" customHeight="1">
      <x:c r="A110" s="124">
        <x:v>75</x:v>
      </x:c>
      <x:c r="B110" s="125">
        <x:v>4.0199999999999996</x:v>
      </x:c>
      <x:c r="C110" s="125">
        <x:v>3.31</x:v>
      </x:c>
      <x:c r="D110" s="125">
        <x:v>2.76</x:v>
      </x:c>
      <x:c r="E110" s="125">
        <x:v>2.2999999999999998</x:v>
      </x:c>
      <x:c r="F110" s="125">
        <x:v>1.93</x:v>
      </x:c>
      <x:c r="G110" s="125" t="s">
        <x:v>744</x:v>
      </x:c>
    </x:row>
    <x:row r="111" ht="13.050000190734863" customHeight="1">
      <x:c r="A111" s="126">
        <x:v>80</x:v>
      </x:c>
      <x:c r="B111" s="127">
        <x:v>4.0999999999999996</x:v>
      </x:c>
      <x:c r="C111" s="127">
        <x:v>3.37</x:v>
      </x:c>
      <x:c r="D111" s="127">
        <x:v>2.8</x:v>
      </x:c>
      <x:c r="E111" s="127">
        <x:v>2.33</x:v>
      </x:c>
      <x:c r="F111" s="127">
        <x:v>1.95</x:v>
      </x:c>
      <x:c r="G111" s="127" t="s">
        <x:v>745</x:v>
      </x:c>
    </x:row>
    <x:row r="112" ht="13.050000190734863" customHeight="1">
      <x:c r="A112" s="124">
        <x:v>85</x:v>
      </x:c>
      <x:c r="B112" s="125">
        <x:v>4.18</x:v>
      </x:c>
      <x:c r="C112" s="125">
        <x:v>3.43</x:v>
      </x:c>
      <x:c r="D112" s="125">
        <x:v>2.84</x:v>
      </x:c>
      <x:c r="E112" s="125">
        <x:v>2.35</x:v>
      </x:c>
      <x:c r="F112" s="125">
        <x:v>1.96</x:v>
      </x:c>
      <x:c r="G112" s="125" t="s">
        <x:v>746</x:v>
      </x:c>
    </x:row>
    <x:row r="113" ht="13.050000190734863" customHeight="1">
      <x:c r="A113" s="126">
        <x:v>90</x:v>
      </x:c>
      <x:c r="B113" s="127">
        <x:v>4.26</x:v>
      </x:c>
      <x:c r="C113" s="127">
        <x:v>3.49</x:v>
      </x:c>
      <x:c r="D113" s="127">
        <x:v>2.88</x:v>
      </x:c>
      <x:c r="E113" s="127">
        <x:v>2.38</x:v>
      </x:c>
      <x:c r="F113" s="127">
        <x:v>1.98</x:v>
      </x:c>
      <x:c r="G113" s="127" t="s">
        <x:v>747</x:v>
      </x:c>
    </x:row>
    <x:row r="114" ht="13.050000190734863" customHeight="1">
      <x:c r="A114" s="124">
        <x:v>95</x:v>
      </x:c>
      <x:c r="B114" s="125">
        <x:v>4.33</x:v>
      </x:c>
      <x:c r="C114" s="125">
        <x:v>3.54</x:v>
      </x:c>
      <x:c r="D114" s="125">
        <x:v>2.92</x:v>
      </x:c>
      <x:c r="E114" s="125">
        <x:v>2.4</x:v>
      </x:c>
      <x:c r="F114" s="125">
        <x:v>2</x:v>
      </x:c>
      <x:c r="G114" s="125" t="s">
        <x:v>748</x:v>
      </x:c>
    </x:row>
    <x:row r="115" ht="13.050000190734863" customHeight="1">
      <x:c r="A115" s="126">
        <x:v>100</x:v>
      </x:c>
      <x:c r="B115" s="127">
        <x:v>4.41</x:v>
      </x:c>
      <x:c r="C115" s="127">
        <x:v>3.59</x:v>
      </x:c>
      <x:c r="D115" s="127">
        <x:v>2.95</x:v>
      </x:c>
      <x:c r="E115" s="127">
        <x:v>2.4300000000000002</x:v>
      </x:c>
      <x:c r="F115" s="127">
        <x:v>2.0099999999999998</x:v>
      </x:c>
      <x:c r="G115" s="127" t="s">
        <x:v>749</x:v>
      </x:c>
    </x:row>
  </x:sheetData>
  <x:mergeCells>
    <x:mergeCell ref="A2:G2"/>
    <x:mergeCell ref="A1:G1"/>
  </x:mergeCells>
  <x:pageMargins left="0.7" right="0.7" top="0.75" bottom="0.75" header="0.3" footer="0.3"/>
</x:worksheet>
</file>